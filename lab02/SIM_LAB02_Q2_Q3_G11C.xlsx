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pliques" sheetId="1" state="visible" r:id="rId3"/>
    <sheet name="3_Estadistics" sheetId="2" state="visible" r:id="rId4"/>
    <sheet name="2_Disseny_Ya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<sst xmlns="http://schemas.openxmlformats.org/spreadsheetml/2006/main" count="2689" uniqueCount="91">
  <si>
    <t xml:space="preserve">Full 1 - Repliques individuals (15 inicials + addicionals fins h &lt; 5% x)</t>
  </si>
  <si>
    <t xml:space="preserve">#</t>
  </si>
  <si>
    <t xml:space="preserve">Label</t>
  </si>
  <si>
    <t xml:space="preserve">A</t>
  </si>
  <si>
    <t xml:space="preserve">B</t>
  </si>
  <si>
    <t xml:space="preserve">C</t>
  </si>
  <si>
    <t xml:space="preserve">D</t>
  </si>
  <si>
    <t xml:space="preserve">Replique</t>
  </si>
  <si>
    <t xml:space="preserve">Y1 espera (s)</t>
  </si>
  <si>
    <t xml:space="preserve">Y2 CV hw (%)</t>
  </si>
  <si>
    <t xml:space="preserve">Y3 cicle (min)</t>
  </si>
  <si>
    <t xml:space="preserve">(1)</t>
  </si>
  <si>
    <t xml:space="preserve">-</t>
  </si>
  <si>
    <t xml:space="preserve">a</t>
  </si>
  <si>
    <t xml:space="preserve">+</t>
  </si>
  <si>
    <t xml:space="preserve">b</t>
  </si>
  <si>
    <t xml:space="preserve">ab</t>
  </si>
  <si>
    <t xml:space="preserve">c</t>
  </si>
  <si>
    <t xml:space="preserve">ac</t>
  </si>
  <si>
    <t xml:space="preserve">bc</t>
  </si>
  <si>
    <t xml:space="preserve">abc</t>
  </si>
  <si>
    <t xml:space="preserve">d</t>
  </si>
  <si>
    <t xml:space="preserve">ad</t>
  </si>
  <si>
    <t xml:space="preserve">bd</t>
  </si>
  <si>
    <t xml:space="preserve">abd</t>
  </si>
  <si>
    <t xml:space="preserve">cd</t>
  </si>
  <si>
    <t xml:space="preserve">acd</t>
  </si>
  <si>
    <t xml:space="preserve">bcd</t>
  </si>
  <si>
    <t xml:space="preserve">abcd</t>
  </si>
  <si>
    <t xml:space="preserve">Full 3 - Estadistics per escenari amb variancia (s2) i semiamplitud (h)</t>
  </si>
  <si>
    <t xml:space="preserve">Escenari</t>
  </si>
  <si>
    <t xml:space="preserve">Y1 - Temps espera (s)</t>
  </si>
  <si>
    <t xml:space="preserve">Y2 - CV Headway (%)</t>
  </si>
  <si>
    <t xml:space="preserve">Y3 - Temps cicle (min)</t>
  </si>
  <si>
    <t xml:space="preserve">Validacio</t>
  </si>
  <si>
    <t xml:space="preserve">N</t>
  </si>
  <si>
    <t xml:space="preserve">Mitjana</t>
  </si>
  <si>
    <t xml:space="preserve">Var. (s2)</t>
  </si>
  <si>
    <t xml:space="preserve">Std (s)</t>
  </si>
  <si>
    <t xml:space="preserve">Min</t>
  </si>
  <si>
    <t xml:space="preserve">Max</t>
  </si>
  <si>
    <t xml:space="preserve">IC 95%</t>
  </si>
  <si>
    <t xml:space="preserve">h</t>
  </si>
  <si>
    <t xml:space="preserve">h/mu</t>
  </si>
  <si>
    <t xml:space="preserve">Tol OK?</t>
  </si>
  <si>
    <t xml:space="preserve">Extra</t>
  </si>
  <si>
    <t xml:space="preserve">+21</t>
  </si>
  <si>
    <t xml:space="preserve">+8</t>
  </si>
  <si>
    <t xml:space="preserve">+36</t>
  </si>
  <si>
    <t xml:space="preserve">+20</t>
  </si>
  <si>
    <t xml:space="preserve">+61</t>
  </si>
  <si>
    <t xml:space="preserve">+53</t>
  </si>
  <si>
    <t xml:space="preserve">+27</t>
  </si>
  <si>
    <t xml:space="preserve">+11</t>
  </si>
  <si>
    <t xml:space="preserve">+10</t>
  </si>
  <si>
    <t xml:space="preserve">+1</t>
  </si>
  <si>
    <t xml:space="preserve">Full 2 - Disseny factorial 2^4 i Algorisme de Yates (passos 1,2,4,8)</t>
  </si>
  <si>
    <t xml:space="preserve">Codificacio</t>
  </si>
  <si>
    <t xml:space="preserve">Y1 (s)</t>
  </si>
  <si>
    <t xml:space="preserve">Y2 (%)</t>
  </si>
  <si>
    <t xml:space="preserve">Y3 (min)</t>
  </si>
  <si>
    <t xml:space="preserve">Yates Y1</t>
  </si>
  <si>
    <t xml:space="preserve">Yates Y2</t>
  </si>
  <si>
    <t xml:space="preserve">Yates Y3</t>
  </si>
  <si>
    <t xml:space="preserve">Mitj Y1</t>
  </si>
  <si>
    <t xml:space="preserve">IC lo</t>
  </si>
  <si>
    <t xml:space="preserve">IC hi</t>
  </si>
  <si>
    <t xml:space="preserve">Mitj Y2</t>
  </si>
  <si>
    <t xml:space="preserve">Mitj Y3</t>
  </si>
  <si>
    <t xml:space="preserve">It0 Y1</t>
  </si>
  <si>
    <t xml:space="preserve">It1</t>
  </si>
  <si>
    <t xml:space="preserve">It2</t>
  </si>
  <si>
    <t xml:space="preserve">It3</t>
  </si>
  <si>
    <t xml:space="preserve">It4</t>
  </si>
  <si>
    <t xml:space="preserve">Ef Y1</t>
  </si>
  <si>
    <t xml:space="preserve">Nom</t>
  </si>
  <si>
    <t xml:space="preserve">It0 Y2</t>
  </si>
  <si>
    <t xml:space="preserve">Ef Y2</t>
  </si>
  <si>
    <t xml:space="preserve">It0 Y3</t>
  </si>
  <si>
    <t xml:space="preserve">Ef Y3</t>
  </si>
  <si>
    <t xml:space="preserve">AB</t>
  </si>
  <si>
    <t xml:space="preserve">AC</t>
  </si>
  <si>
    <t xml:space="preserve">BC</t>
  </si>
  <si>
    <t xml:space="preserve">ABC</t>
  </si>
  <si>
    <t xml:space="preserve">AD</t>
  </si>
  <si>
    <t xml:space="preserve">BD</t>
  </si>
  <si>
    <t xml:space="preserve">ABD</t>
  </si>
  <si>
    <t xml:space="preserve">CD</t>
  </si>
  <si>
    <t xml:space="preserve">ACD</t>
  </si>
  <si>
    <t xml:space="preserve">BCD</t>
  </si>
  <si>
    <t xml:space="preserve">ABCD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</si>
</sst>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@"/>
    <numFmt numFmtId="167" formatCode="0.0%"/>
    <numFmt numFmtId="168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1F6B3A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2E5FA3"/>
      <name val="Arial"/>
      <family val="0"/>
      <charset val="1"/>
    </font>
    <font>
      <i val="true"/>
      <sz val="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2E5FA3"/>
        <bgColor rgb="FF1A5276"/>
      </patternFill>
    </fill>
    <fill>
      <patternFill patternType="solid">
        <fgColor rgb="FFEBF3FB"/>
        <bgColor rgb="FFE9F7EF"/>
      </patternFill>
    </fill>
    <fill>
      <patternFill patternType="solid">
        <fgColor rgb="FFFFFFFF"/>
        <bgColor rgb="FFFFF8E1"/>
      </patternFill>
    </fill>
    <fill>
      <patternFill patternType="solid">
        <fgColor rgb="FFDDE8F5"/>
        <bgColor rgb="FFEBF3FB"/>
      </patternFill>
    </fill>
    <fill>
      <patternFill patternType="solid">
        <fgColor rgb="FF1F6B3A"/>
        <bgColor rgb="FF1A5276"/>
      </patternFill>
    </fill>
    <fill>
      <patternFill patternType="solid">
        <fgColor rgb="FF7D3C00"/>
        <bgColor rgb="FF993366"/>
      </patternFill>
    </fill>
    <fill>
      <patternFill patternType="solid">
        <fgColor rgb="FF1A5276"/>
        <bgColor rgb="FF2E5FA3"/>
      </patternFill>
    </fill>
    <fill>
      <patternFill patternType="solid">
        <fgColor rgb="FF4A235A"/>
        <bgColor rgb="FF1F3864"/>
      </patternFill>
    </fill>
    <fill>
      <patternFill patternType="solid">
        <fgColor rgb="FFE9F7EF"/>
        <bgColor rgb="FFEBF3FB"/>
      </patternFill>
    </fill>
    <fill>
      <patternFill patternType="solid">
        <fgColor rgb="FFFFF8E1"/>
        <bgColor rgb="FFFDECEA"/>
      </patternFill>
    </fill>
    <fill>
      <patternFill patternType="solid">
        <fgColor rgb="FFFDECEA"/>
        <bgColor rgb="FFFFF8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808000"/>
      <rgbColor rgb="FF800080"/>
      <rgbColor rgb="FF008080"/>
      <rgbColor rgb="FFBBBBBB"/>
      <rgbColor rgb="FF808080"/>
      <rgbColor rgb="FF9999FF"/>
      <rgbColor rgb="FFC0392B"/>
      <rgbColor rgb="FFFFF8E1"/>
      <rgbColor rgb="FFE9F7EF"/>
      <rgbColor rgb="FF660066"/>
      <rgbColor rgb="FFFF8080"/>
      <rgbColor rgb="FF2E5FA3"/>
      <rgbColor rgb="FFDDE8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7D3C00"/>
      <rgbColor rgb="FF993366"/>
      <rgbColor rgb="FF1A5276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6" min="3" style="0" width="4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4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" hidden="false" customHeight="false" outlineLevel="0" collapsed="false">
      <c r="A3" s="3" t="n">
        <v>1</v>
      </c>
      <c r="B3" s="3" t="s">
        <v>11</v>
      </c>
      <c r="C3" s="4" t="s">
        <v>12</v>
      </c>
      <c r="D3" s="4" t="s">
        <v>12</v>
      </c>
      <c r="E3" s="4" t="s">
        <v>12</v>
      </c>
      <c r="F3" s="4" t="s">
        <v>12</v>
      </c>
      <c r="G3" s="4" t="n">
        <v>1</v>
      </c>
      <c r="H3" s="5" t="n">
        <v>813.65</v>
      </c>
      <c r="I3" s="5" t="n">
        <v>107.1</v>
      </c>
      <c r="J3" s="5" t="n">
        <v>14.333</v>
      </c>
    </row>
    <row r="4" customFormat="false" ht="15" hidden="false" customHeight="false" outlineLevel="0" collapsed="false">
      <c r="A4" s="6" t="n">
        <v>1</v>
      </c>
      <c r="B4" s="6" t="s">
        <v>11</v>
      </c>
      <c r="C4" s="7" t="s">
        <v>12</v>
      </c>
      <c r="D4" s="7" t="s">
        <v>12</v>
      </c>
      <c r="E4" s="7" t="s">
        <v>12</v>
      </c>
      <c r="F4" s="7" t="s">
        <v>12</v>
      </c>
      <c r="G4" s="7" t="n">
        <v>2</v>
      </c>
      <c r="H4" s="8" t="n">
        <v>612.01</v>
      </c>
      <c r="I4" s="8" t="n">
        <v>100.07</v>
      </c>
      <c r="J4" s="8" t="n">
        <v>14.267</v>
      </c>
    </row>
    <row r="5" customFormat="false" ht="15" hidden="false" customHeight="false" outlineLevel="0" collapsed="false">
      <c r="A5" s="3" t="n">
        <v>1</v>
      </c>
      <c r="B5" s="3" t="s">
        <v>11</v>
      </c>
      <c r="C5" s="4" t="s">
        <v>12</v>
      </c>
      <c r="D5" s="4" t="s">
        <v>12</v>
      </c>
      <c r="E5" s="4" t="s">
        <v>12</v>
      </c>
      <c r="F5" s="4" t="s">
        <v>12</v>
      </c>
      <c r="G5" s="4" t="n">
        <v>3</v>
      </c>
      <c r="H5" s="5" t="n">
        <v>697.74</v>
      </c>
      <c r="I5" s="5" t="n">
        <v>104.18</v>
      </c>
      <c r="J5" s="5" t="n">
        <v>14.26</v>
      </c>
    </row>
    <row r="6" customFormat="false" ht="15" hidden="false" customHeight="false" outlineLevel="0" collapsed="false">
      <c r="A6" s="6" t="n">
        <v>1</v>
      </c>
      <c r="B6" s="6" t="s">
        <v>11</v>
      </c>
      <c r="C6" s="7" t="s">
        <v>12</v>
      </c>
      <c r="D6" s="7" t="s">
        <v>12</v>
      </c>
      <c r="E6" s="7" t="s">
        <v>12</v>
      </c>
      <c r="F6" s="7" t="s">
        <v>12</v>
      </c>
      <c r="G6" s="7" t="n">
        <v>4</v>
      </c>
      <c r="H6" s="8" t="n">
        <v>639.79</v>
      </c>
      <c r="I6" s="8" t="n">
        <v>109</v>
      </c>
      <c r="J6" s="8" t="n">
        <v>14.325</v>
      </c>
    </row>
    <row r="7" customFormat="false" ht="15" hidden="false" customHeight="false" outlineLevel="0" collapsed="false">
      <c r="A7" s="3" t="n">
        <v>1</v>
      </c>
      <c r="B7" s="3" t="s">
        <v>11</v>
      </c>
      <c r="C7" s="4" t="s">
        <v>12</v>
      </c>
      <c r="D7" s="4" t="s">
        <v>12</v>
      </c>
      <c r="E7" s="4" t="s">
        <v>12</v>
      </c>
      <c r="F7" s="4" t="s">
        <v>12</v>
      </c>
      <c r="G7" s="4" t="n">
        <v>5</v>
      </c>
      <c r="H7" s="5" t="n">
        <v>686.07</v>
      </c>
      <c r="I7" s="5" t="n">
        <v>115.77</v>
      </c>
      <c r="J7" s="5" t="n">
        <v>14.304</v>
      </c>
    </row>
    <row r="8" customFormat="false" ht="15" hidden="false" customHeight="false" outlineLevel="0" collapsed="false">
      <c r="A8" s="6" t="n">
        <v>1</v>
      </c>
      <c r="B8" s="6" t="s">
        <v>11</v>
      </c>
      <c r="C8" s="7" t="s">
        <v>12</v>
      </c>
      <c r="D8" s="7" t="s">
        <v>12</v>
      </c>
      <c r="E8" s="7" t="s">
        <v>12</v>
      </c>
      <c r="F8" s="7" t="s">
        <v>12</v>
      </c>
      <c r="G8" s="7" t="n">
        <v>6</v>
      </c>
      <c r="H8" s="8" t="n">
        <v>710.59</v>
      </c>
      <c r="I8" s="8" t="n">
        <v>105.2</v>
      </c>
      <c r="J8" s="8" t="n">
        <v>14.382</v>
      </c>
    </row>
    <row r="9" customFormat="false" ht="15" hidden="false" customHeight="false" outlineLevel="0" collapsed="false">
      <c r="A9" s="3" t="n">
        <v>1</v>
      </c>
      <c r="B9" s="3" t="s">
        <v>11</v>
      </c>
      <c r="C9" s="4" t="s">
        <v>12</v>
      </c>
      <c r="D9" s="4" t="s">
        <v>12</v>
      </c>
      <c r="E9" s="4" t="s">
        <v>12</v>
      </c>
      <c r="F9" s="4" t="s">
        <v>12</v>
      </c>
      <c r="G9" s="4" t="n">
        <v>7</v>
      </c>
      <c r="H9" s="5" t="n">
        <v>683.16</v>
      </c>
      <c r="I9" s="5" t="n">
        <v>118.1</v>
      </c>
      <c r="J9" s="5" t="n">
        <v>14.293</v>
      </c>
    </row>
    <row r="10" customFormat="false" ht="15" hidden="false" customHeight="false" outlineLevel="0" collapsed="false">
      <c r="A10" s="6" t="n">
        <v>1</v>
      </c>
      <c r="B10" s="6" t="s">
        <v>11</v>
      </c>
      <c r="C10" s="7" t="s">
        <v>12</v>
      </c>
      <c r="D10" s="7" t="s">
        <v>12</v>
      </c>
      <c r="E10" s="7" t="s">
        <v>12</v>
      </c>
      <c r="F10" s="7" t="s">
        <v>12</v>
      </c>
      <c r="G10" s="7" t="n">
        <v>8</v>
      </c>
      <c r="H10" s="8" t="n">
        <v>622.83</v>
      </c>
      <c r="I10" s="8" t="n">
        <v>112.8</v>
      </c>
      <c r="J10" s="8" t="n">
        <v>14.289</v>
      </c>
    </row>
    <row r="11" customFormat="false" ht="15" hidden="false" customHeight="false" outlineLevel="0" collapsed="false">
      <c r="A11" s="3" t="n">
        <v>1</v>
      </c>
      <c r="B11" s="3" t="s">
        <v>11</v>
      </c>
      <c r="C11" s="4" t="s">
        <v>12</v>
      </c>
      <c r="D11" s="4" t="s">
        <v>12</v>
      </c>
      <c r="E11" s="4" t="s">
        <v>12</v>
      </c>
      <c r="F11" s="4" t="s">
        <v>12</v>
      </c>
      <c r="G11" s="4" t="n">
        <v>9</v>
      </c>
      <c r="H11" s="5" t="n">
        <v>673.94</v>
      </c>
      <c r="I11" s="5" t="n">
        <v>109.17</v>
      </c>
      <c r="J11" s="5" t="n">
        <v>14.331</v>
      </c>
    </row>
    <row r="12" customFormat="false" ht="15" hidden="false" customHeight="false" outlineLevel="0" collapsed="false">
      <c r="A12" s="6" t="n">
        <v>1</v>
      </c>
      <c r="B12" s="6" t="s">
        <v>11</v>
      </c>
      <c r="C12" s="7" t="s">
        <v>12</v>
      </c>
      <c r="D12" s="7" t="s">
        <v>12</v>
      </c>
      <c r="E12" s="7" t="s">
        <v>12</v>
      </c>
      <c r="F12" s="7" t="s">
        <v>12</v>
      </c>
      <c r="G12" s="7" t="n">
        <v>10</v>
      </c>
      <c r="H12" s="8" t="n">
        <v>711.08</v>
      </c>
      <c r="I12" s="8" t="n">
        <v>108.17</v>
      </c>
      <c r="J12" s="8" t="n">
        <v>14.206</v>
      </c>
    </row>
    <row r="13" customFormat="false" ht="15" hidden="false" customHeight="false" outlineLevel="0" collapsed="false">
      <c r="A13" s="3" t="n">
        <v>1</v>
      </c>
      <c r="B13" s="3" t="s">
        <v>11</v>
      </c>
      <c r="C13" s="4" t="s">
        <v>12</v>
      </c>
      <c r="D13" s="4" t="s">
        <v>12</v>
      </c>
      <c r="E13" s="4" t="s">
        <v>12</v>
      </c>
      <c r="F13" s="4" t="s">
        <v>12</v>
      </c>
      <c r="G13" s="4" t="n">
        <v>11</v>
      </c>
      <c r="H13" s="5" t="n">
        <v>629.34</v>
      </c>
      <c r="I13" s="5" t="n">
        <v>101.97</v>
      </c>
      <c r="J13" s="5" t="n">
        <v>14.321</v>
      </c>
    </row>
    <row r="14" customFormat="false" ht="15" hidden="false" customHeight="false" outlineLevel="0" collapsed="false">
      <c r="A14" s="6" t="n">
        <v>1</v>
      </c>
      <c r="B14" s="6" t="s">
        <v>11</v>
      </c>
      <c r="C14" s="7" t="s">
        <v>12</v>
      </c>
      <c r="D14" s="7" t="s">
        <v>12</v>
      </c>
      <c r="E14" s="7" t="s">
        <v>12</v>
      </c>
      <c r="F14" s="7" t="s">
        <v>12</v>
      </c>
      <c r="G14" s="7" t="n">
        <v>12</v>
      </c>
      <c r="H14" s="8" t="n">
        <v>681.83</v>
      </c>
      <c r="I14" s="8" t="n">
        <v>106.54</v>
      </c>
      <c r="J14" s="8" t="n">
        <v>14.434</v>
      </c>
    </row>
    <row r="15" customFormat="false" ht="15" hidden="false" customHeight="false" outlineLevel="0" collapsed="false">
      <c r="A15" s="3" t="n">
        <v>1</v>
      </c>
      <c r="B15" s="3" t="s">
        <v>11</v>
      </c>
      <c r="C15" s="4" t="s">
        <v>12</v>
      </c>
      <c r="D15" s="4" t="s">
        <v>12</v>
      </c>
      <c r="E15" s="4" t="s">
        <v>12</v>
      </c>
      <c r="F15" s="4" t="s">
        <v>12</v>
      </c>
      <c r="G15" s="4" t="n">
        <v>13</v>
      </c>
      <c r="H15" s="5" t="n">
        <v>690.54</v>
      </c>
      <c r="I15" s="5" t="n">
        <v>104.13</v>
      </c>
      <c r="J15" s="5" t="n">
        <v>14.359</v>
      </c>
    </row>
    <row r="16" customFormat="false" ht="15" hidden="false" customHeight="false" outlineLevel="0" collapsed="false">
      <c r="A16" s="6" t="n">
        <v>1</v>
      </c>
      <c r="B16" s="6" t="s">
        <v>11</v>
      </c>
      <c r="C16" s="7" t="s">
        <v>12</v>
      </c>
      <c r="D16" s="7" t="s">
        <v>12</v>
      </c>
      <c r="E16" s="7" t="s">
        <v>12</v>
      </c>
      <c r="F16" s="7" t="s">
        <v>12</v>
      </c>
      <c r="G16" s="7" t="n">
        <v>14</v>
      </c>
      <c r="H16" s="8" t="n">
        <v>705.97</v>
      </c>
      <c r="I16" s="8" t="n">
        <v>107.66</v>
      </c>
      <c r="J16" s="8" t="n">
        <v>14.417</v>
      </c>
    </row>
    <row r="17" customFormat="false" ht="15" hidden="false" customHeight="false" outlineLevel="0" collapsed="false">
      <c r="A17" s="3" t="n">
        <v>1</v>
      </c>
      <c r="B17" s="3" t="s">
        <v>11</v>
      </c>
      <c r="C17" s="4" t="s">
        <v>12</v>
      </c>
      <c r="D17" s="4" t="s">
        <v>12</v>
      </c>
      <c r="E17" s="4" t="s">
        <v>12</v>
      </c>
      <c r="F17" s="4" t="s">
        <v>12</v>
      </c>
      <c r="G17" s="4" t="n">
        <v>15</v>
      </c>
      <c r="H17" s="5" t="n">
        <v>767.1</v>
      </c>
      <c r="I17" s="5" t="n">
        <v>101.9</v>
      </c>
      <c r="J17" s="5" t="n">
        <v>14.338</v>
      </c>
    </row>
    <row r="18" customFormat="false" ht="15" hidden="false" customHeight="false" outlineLevel="0" collapsed="false">
      <c r="A18" s="9" t="n">
        <v>2</v>
      </c>
      <c r="B18" s="9" t="s">
        <v>13</v>
      </c>
      <c r="C18" s="10" t="s">
        <v>14</v>
      </c>
      <c r="D18" s="10" t="s">
        <v>12</v>
      </c>
      <c r="E18" s="10" t="s">
        <v>12</v>
      </c>
      <c r="F18" s="10" t="s">
        <v>12</v>
      </c>
      <c r="G18" s="10" t="n">
        <v>1</v>
      </c>
      <c r="H18" s="11" t="n">
        <v>333.61</v>
      </c>
      <c r="I18" s="11" t="n">
        <v>160.75</v>
      </c>
      <c r="J18" s="11" t="n">
        <v>13.344</v>
      </c>
    </row>
    <row r="19" customFormat="false" ht="15" hidden="false" customHeight="false" outlineLevel="0" collapsed="false">
      <c r="A19" s="6" t="n">
        <v>2</v>
      </c>
      <c r="B19" s="6" t="s">
        <v>13</v>
      </c>
      <c r="C19" s="7" t="s">
        <v>14</v>
      </c>
      <c r="D19" s="7" t="s">
        <v>12</v>
      </c>
      <c r="E19" s="7" t="s">
        <v>12</v>
      </c>
      <c r="F19" s="7" t="s">
        <v>12</v>
      </c>
      <c r="G19" s="7" t="n">
        <v>2</v>
      </c>
      <c r="H19" s="8" t="n">
        <v>330.07</v>
      </c>
      <c r="I19" s="8" t="n">
        <v>156.6</v>
      </c>
      <c r="J19" s="8" t="n">
        <v>13.31</v>
      </c>
    </row>
    <row r="20" customFormat="false" ht="15" hidden="false" customHeight="false" outlineLevel="0" collapsed="false">
      <c r="A20" s="9" t="n">
        <v>2</v>
      </c>
      <c r="B20" s="9" t="s">
        <v>13</v>
      </c>
      <c r="C20" s="10" t="s">
        <v>14</v>
      </c>
      <c r="D20" s="10" t="s">
        <v>12</v>
      </c>
      <c r="E20" s="10" t="s">
        <v>12</v>
      </c>
      <c r="F20" s="10" t="s">
        <v>12</v>
      </c>
      <c r="G20" s="10" t="n">
        <v>3</v>
      </c>
      <c r="H20" s="11" t="n">
        <v>267.09</v>
      </c>
      <c r="I20" s="11" t="n">
        <v>133.67</v>
      </c>
      <c r="J20" s="11" t="n">
        <v>13.263</v>
      </c>
    </row>
    <row r="21" customFormat="false" ht="15" hidden="false" customHeight="false" outlineLevel="0" collapsed="false">
      <c r="A21" s="6" t="n">
        <v>2</v>
      </c>
      <c r="B21" s="6" t="s">
        <v>13</v>
      </c>
      <c r="C21" s="7" t="s">
        <v>14</v>
      </c>
      <c r="D21" s="7" t="s">
        <v>12</v>
      </c>
      <c r="E21" s="7" t="s">
        <v>12</v>
      </c>
      <c r="F21" s="7" t="s">
        <v>12</v>
      </c>
      <c r="G21" s="7" t="n">
        <v>4</v>
      </c>
      <c r="H21" s="8" t="n">
        <v>338.89</v>
      </c>
      <c r="I21" s="8" t="n">
        <v>156.13</v>
      </c>
      <c r="J21" s="8" t="n">
        <v>13.468</v>
      </c>
    </row>
    <row r="22" customFormat="false" ht="15" hidden="false" customHeight="false" outlineLevel="0" collapsed="false">
      <c r="A22" s="9" t="n">
        <v>2</v>
      </c>
      <c r="B22" s="9" t="s">
        <v>13</v>
      </c>
      <c r="C22" s="10" t="s">
        <v>14</v>
      </c>
      <c r="D22" s="10" t="s">
        <v>12</v>
      </c>
      <c r="E22" s="10" t="s">
        <v>12</v>
      </c>
      <c r="F22" s="10" t="s">
        <v>12</v>
      </c>
      <c r="G22" s="10" t="n">
        <v>5</v>
      </c>
      <c r="H22" s="11" t="n">
        <v>324.57</v>
      </c>
      <c r="I22" s="11" t="n">
        <v>159.02</v>
      </c>
      <c r="J22" s="11" t="n">
        <v>13.35</v>
      </c>
    </row>
    <row r="23" customFormat="false" ht="15" hidden="false" customHeight="false" outlineLevel="0" collapsed="false">
      <c r="A23" s="6" t="n">
        <v>2</v>
      </c>
      <c r="B23" s="6" t="s">
        <v>13</v>
      </c>
      <c r="C23" s="7" t="s">
        <v>14</v>
      </c>
      <c r="D23" s="7" t="s">
        <v>12</v>
      </c>
      <c r="E23" s="7" t="s">
        <v>12</v>
      </c>
      <c r="F23" s="7" t="s">
        <v>12</v>
      </c>
      <c r="G23" s="7" t="n">
        <v>6</v>
      </c>
      <c r="H23" s="8" t="n">
        <v>339.97</v>
      </c>
      <c r="I23" s="8" t="n">
        <v>161.11</v>
      </c>
      <c r="J23" s="8" t="n">
        <v>13.456</v>
      </c>
    </row>
    <row r="24" customFormat="false" ht="15" hidden="false" customHeight="false" outlineLevel="0" collapsed="false">
      <c r="A24" s="9" t="n">
        <v>2</v>
      </c>
      <c r="B24" s="9" t="s">
        <v>13</v>
      </c>
      <c r="C24" s="10" t="s">
        <v>14</v>
      </c>
      <c r="D24" s="10" t="s">
        <v>12</v>
      </c>
      <c r="E24" s="10" t="s">
        <v>12</v>
      </c>
      <c r="F24" s="10" t="s">
        <v>12</v>
      </c>
      <c r="G24" s="10" t="n">
        <v>7</v>
      </c>
      <c r="H24" s="11" t="n">
        <v>341.84</v>
      </c>
      <c r="I24" s="11" t="n">
        <v>158.81</v>
      </c>
      <c r="J24" s="11" t="n">
        <v>13.487</v>
      </c>
    </row>
    <row r="25" customFormat="false" ht="15" hidden="false" customHeight="false" outlineLevel="0" collapsed="false">
      <c r="A25" s="6" t="n">
        <v>2</v>
      </c>
      <c r="B25" s="6" t="s">
        <v>13</v>
      </c>
      <c r="C25" s="7" t="s">
        <v>14</v>
      </c>
      <c r="D25" s="7" t="s">
        <v>12</v>
      </c>
      <c r="E25" s="7" t="s">
        <v>12</v>
      </c>
      <c r="F25" s="7" t="s">
        <v>12</v>
      </c>
      <c r="G25" s="7" t="n">
        <v>8</v>
      </c>
      <c r="H25" s="8" t="n">
        <v>354.15</v>
      </c>
      <c r="I25" s="8" t="n">
        <v>164.38</v>
      </c>
      <c r="J25" s="8" t="n">
        <v>13.484</v>
      </c>
    </row>
    <row r="26" customFormat="false" ht="15" hidden="false" customHeight="false" outlineLevel="0" collapsed="false">
      <c r="A26" s="9" t="n">
        <v>2</v>
      </c>
      <c r="B26" s="9" t="s">
        <v>13</v>
      </c>
      <c r="C26" s="10" t="s">
        <v>14</v>
      </c>
      <c r="D26" s="10" t="s">
        <v>12</v>
      </c>
      <c r="E26" s="10" t="s">
        <v>12</v>
      </c>
      <c r="F26" s="10" t="s">
        <v>12</v>
      </c>
      <c r="G26" s="10" t="n">
        <v>9</v>
      </c>
      <c r="H26" s="11" t="n">
        <v>313.33</v>
      </c>
      <c r="I26" s="11" t="n">
        <v>149.67</v>
      </c>
      <c r="J26" s="11" t="n">
        <v>13.474</v>
      </c>
    </row>
    <row r="27" customFormat="false" ht="15" hidden="false" customHeight="false" outlineLevel="0" collapsed="false">
      <c r="A27" s="6" t="n">
        <v>2</v>
      </c>
      <c r="B27" s="6" t="s">
        <v>13</v>
      </c>
      <c r="C27" s="7" t="s">
        <v>14</v>
      </c>
      <c r="D27" s="7" t="s">
        <v>12</v>
      </c>
      <c r="E27" s="7" t="s">
        <v>12</v>
      </c>
      <c r="F27" s="7" t="s">
        <v>12</v>
      </c>
      <c r="G27" s="7" t="n">
        <v>10</v>
      </c>
      <c r="H27" s="8" t="n">
        <v>322.43</v>
      </c>
      <c r="I27" s="8" t="n">
        <v>152.84</v>
      </c>
      <c r="J27" s="8" t="n">
        <v>13.417</v>
      </c>
    </row>
    <row r="28" customFormat="false" ht="15" hidden="false" customHeight="false" outlineLevel="0" collapsed="false">
      <c r="A28" s="9" t="n">
        <v>2</v>
      </c>
      <c r="B28" s="9" t="s">
        <v>13</v>
      </c>
      <c r="C28" s="10" t="s">
        <v>14</v>
      </c>
      <c r="D28" s="10" t="s">
        <v>12</v>
      </c>
      <c r="E28" s="10" t="s">
        <v>12</v>
      </c>
      <c r="F28" s="10" t="s">
        <v>12</v>
      </c>
      <c r="G28" s="10" t="n">
        <v>11</v>
      </c>
      <c r="H28" s="11" t="n">
        <v>335.01</v>
      </c>
      <c r="I28" s="11" t="n">
        <v>156.25</v>
      </c>
      <c r="J28" s="11" t="n">
        <v>13.453</v>
      </c>
    </row>
    <row r="29" customFormat="false" ht="15" hidden="false" customHeight="false" outlineLevel="0" collapsed="false">
      <c r="A29" s="6" t="n">
        <v>2</v>
      </c>
      <c r="B29" s="6" t="s">
        <v>13</v>
      </c>
      <c r="C29" s="7" t="s">
        <v>14</v>
      </c>
      <c r="D29" s="7" t="s">
        <v>12</v>
      </c>
      <c r="E29" s="7" t="s">
        <v>12</v>
      </c>
      <c r="F29" s="7" t="s">
        <v>12</v>
      </c>
      <c r="G29" s="7" t="n">
        <v>12</v>
      </c>
      <c r="H29" s="8" t="n">
        <v>314.16</v>
      </c>
      <c r="I29" s="8" t="n">
        <v>153.39</v>
      </c>
      <c r="J29" s="8" t="n">
        <v>13.447</v>
      </c>
    </row>
    <row r="30" customFormat="false" ht="15" hidden="false" customHeight="false" outlineLevel="0" collapsed="false">
      <c r="A30" s="9" t="n">
        <v>2</v>
      </c>
      <c r="B30" s="9" t="s">
        <v>13</v>
      </c>
      <c r="C30" s="10" t="s">
        <v>14</v>
      </c>
      <c r="D30" s="10" t="s">
        <v>12</v>
      </c>
      <c r="E30" s="10" t="s">
        <v>12</v>
      </c>
      <c r="F30" s="10" t="s">
        <v>12</v>
      </c>
      <c r="G30" s="10" t="n">
        <v>13</v>
      </c>
      <c r="H30" s="11" t="n">
        <v>328.53</v>
      </c>
      <c r="I30" s="11" t="n">
        <v>154.59</v>
      </c>
      <c r="J30" s="11" t="n">
        <v>13.537</v>
      </c>
    </row>
    <row r="31" customFormat="false" ht="15" hidden="false" customHeight="false" outlineLevel="0" collapsed="false">
      <c r="A31" s="6" t="n">
        <v>2</v>
      </c>
      <c r="B31" s="6" t="s">
        <v>13</v>
      </c>
      <c r="C31" s="7" t="s">
        <v>14</v>
      </c>
      <c r="D31" s="7" t="s">
        <v>12</v>
      </c>
      <c r="E31" s="7" t="s">
        <v>12</v>
      </c>
      <c r="F31" s="7" t="s">
        <v>12</v>
      </c>
      <c r="G31" s="7" t="n">
        <v>14</v>
      </c>
      <c r="H31" s="8" t="n">
        <v>322.34</v>
      </c>
      <c r="I31" s="8" t="n">
        <v>148.28</v>
      </c>
      <c r="J31" s="8" t="n">
        <v>13.402</v>
      </c>
    </row>
    <row r="32" customFormat="false" ht="15" hidden="false" customHeight="false" outlineLevel="0" collapsed="false">
      <c r="A32" s="9" t="n">
        <v>2</v>
      </c>
      <c r="B32" s="9" t="s">
        <v>13</v>
      </c>
      <c r="C32" s="10" t="s">
        <v>14</v>
      </c>
      <c r="D32" s="10" t="s">
        <v>12</v>
      </c>
      <c r="E32" s="10" t="s">
        <v>12</v>
      </c>
      <c r="F32" s="10" t="s">
        <v>12</v>
      </c>
      <c r="G32" s="10" t="n">
        <v>15</v>
      </c>
      <c r="H32" s="11" t="n">
        <v>304.87</v>
      </c>
      <c r="I32" s="11" t="n">
        <v>144</v>
      </c>
      <c r="J32" s="11" t="n">
        <v>13.391</v>
      </c>
    </row>
    <row r="33" customFormat="false" ht="15" hidden="false" customHeight="false" outlineLevel="0" collapsed="false">
      <c r="A33" s="3" t="n">
        <v>3</v>
      </c>
      <c r="B33" s="3" t="s">
        <v>15</v>
      </c>
      <c r="C33" s="4" t="s">
        <v>12</v>
      </c>
      <c r="D33" s="4" t="s">
        <v>14</v>
      </c>
      <c r="E33" s="4" t="s">
        <v>12</v>
      </c>
      <c r="F33" s="4" t="s">
        <v>12</v>
      </c>
      <c r="G33" s="4" t="n">
        <v>1</v>
      </c>
      <c r="H33" s="5" t="n">
        <v>410.19</v>
      </c>
      <c r="I33" s="5" t="n">
        <v>118.39</v>
      </c>
      <c r="J33" s="5" t="n">
        <v>14.553</v>
      </c>
    </row>
    <row r="34" customFormat="false" ht="15" hidden="false" customHeight="false" outlineLevel="0" collapsed="false">
      <c r="A34" s="6" t="n">
        <v>3</v>
      </c>
      <c r="B34" s="6" t="s">
        <v>15</v>
      </c>
      <c r="C34" s="7" t="s">
        <v>12</v>
      </c>
      <c r="D34" s="7" t="s">
        <v>14</v>
      </c>
      <c r="E34" s="7" t="s">
        <v>12</v>
      </c>
      <c r="F34" s="7" t="s">
        <v>12</v>
      </c>
      <c r="G34" s="7" t="n">
        <v>2</v>
      </c>
      <c r="H34" s="8" t="n">
        <v>381.61</v>
      </c>
      <c r="I34" s="8" t="n">
        <v>107.57</v>
      </c>
      <c r="J34" s="8" t="n">
        <v>14.335</v>
      </c>
    </row>
    <row r="35" customFormat="false" ht="15" hidden="false" customHeight="false" outlineLevel="0" collapsed="false">
      <c r="A35" s="3" t="n">
        <v>3</v>
      </c>
      <c r="B35" s="3" t="s">
        <v>15</v>
      </c>
      <c r="C35" s="4" t="s">
        <v>12</v>
      </c>
      <c r="D35" s="4" t="s">
        <v>14</v>
      </c>
      <c r="E35" s="4" t="s">
        <v>12</v>
      </c>
      <c r="F35" s="4" t="s">
        <v>12</v>
      </c>
      <c r="G35" s="4" t="n">
        <v>3</v>
      </c>
      <c r="H35" s="5" t="n">
        <v>397.12</v>
      </c>
      <c r="I35" s="5" t="n">
        <v>117.05</v>
      </c>
      <c r="J35" s="5" t="n">
        <v>14.489</v>
      </c>
    </row>
    <row r="36" customFormat="false" ht="15" hidden="false" customHeight="false" outlineLevel="0" collapsed="false">
      <c r="A36" s="6" t="n">
        <v>3</v>
      </c>
      <c r="B36" s="6" t="s">
        <v>15</v>
      </c>
      <c r="C36" s="7" t="s">
        <v>12</v>
      </c>
      <c r="D36" s="7" t="s">
        <v>14</v>
      </c>
      <c r="E36" s="7" t="s">
        <v>12</v>
      </c>
      <c r="F36" s="7" t="s">
        <v>12</v>
      </c>
      <c r="G36" s="7" t="n">
        <v>4</v>
      </c>
      <c r="H36" s="8" t="n">
        <v>396.22</v>
      </c>
      <c r="I36" s="8" t="n">
        <v>111.33</v>
      </c>
      <c r="J36" s="8" t="n">
        <v>14.42</v>
      </c>
    </row>
    <row r="37" customFormat="false" ht="15" hidden="false" customHeight="false" outlineLevel="0" collapsed="false">
      <c r="A37" s="3" t="n">
        <v>3</v>
      </c>
      <c r="B37" s="3" t="s">
        <v>15</v>
      </c>
      <c r="C37" s="4" t="s">
        <v>12</v>
      </c>
      <c r="D37" s="4" t="s">
        <v>14</v>
      </c>
      <c r="E37" s="4" t="s">
        <v>12</v>
      </c>
      <c r="F37" s="4" t="s">
        <v>12</v>
      </c>
      <c r="G37" s="4" t="n">
        <v>5</v>
      </c>
      <c r="H37" s="5" t="n">
        <v>400.74</v>
      </c>
      <c r="I37" s="5" t="n">
        <v>112.83</v>
      </c>
      <c r="J37" s="5" t="n">
        <v>14.501</v>
      </c>
    </row>
    <row r="38" customFormat="false" ht="15" hidden="false" customHeight="false" outlineLevel="0" collapsed="false">
      <c r="A38" s="6" t="n">
        <v>3</v>
      </c>
      <c r="B38" s="6" t="s">
        <v>15</v>
      </c>
      <c r="C38" s="7" t="s">
        <v>12</v>
      </c>
      <c r="D38" s="7" t="s">
        <v>14</v>
      </c>
      <c r="E38" s="7" t="s">
        <v>12</v>
      </c>
      <c r="F38" s="7" t="s">
        <v>12</v>
      </c>
      <c r="G38" s="7" t="n">
        <v>6</v>
      </c>
      <c r="H38" s="8" t="n">
        <v>397.43</v>
      </c>
      <c r="I38" s="8" t="n">
        <v>111.56</v>
      </c>
      <c r="J38" s="8" t="n">
        <v>14.453</v>
      </c>
    </row>
    <row r="39" customFormat="false" ht="15" hidden="false" customHeight="false" outlineLevel="0" collapsed="false">
      <c r="A39" s="3" t="n">
        <v>3</v>
      </c>
      <c r="B39" s="3" t="s">
        <v>15</v>
      </c>
      <c r="C39" s="4" t="s">
        <v>12</v>
      </c>
      <c r="D39" s="4" t="s">
        <v>14</v>
      </c>
      <c r="E39" s="4" t="s">
        <v>12</v>
      </c>
      <c r="F39" s="4" t="s">
        <v>12</v>
      </c>
      <c r="G39" s="4" t="n">
        <v>7</v>
      </c>
      <c r="H39" s="5" t="n">
        <v>369.3</v>
      </c>
      <c r="I39" s="5" t="n">
        <v>104.3</v>
      </c>
      <c r="J39" s="5" t="n">
        <v>14.337</v>
      </c>
    </row>
    <row r="40" customFormat="false" ht="15" hidden="false" customHeight="false" outlineLevel="0" collapsed="false">
      <c r="A40" s="6" t="n">
        <v>3</v>
      </c>
      <c r="B40" s="6" t="s">
        <v>15</v>
      </c>
      <c r="C40" s="7" t="s">
        <v>12</v>
      </c>
      <c r="D40" s="7" t="s">
        <v>14</v>
      </c>
      <c r="E40" s="7" t="s">
        <v>12</v>
      </c>
      <c r="F40" s="7" t="s">
        <v>12</v>
      </c>
      <c r="G40" s="7" t="n">
        <v>8</v>
      </c>
      <c r="H40" s="8" t="n">
        <v>384.27</v>
      </c>
      <c r="I40" s="8" t="n">
        <v>105.84</v>
      </c>
      <c r="J40" s="8" t="n">
        <v>14.48</v>
      </c>
    </row>
    <row r="41" customFormat="false" ht="15" hidden="false" customHeight="false" outlineLevel="0" collapsed="false">
      <c r="A41" s="3" t="n">
        <v>3</v>
      </c>
      <c r="B41" s="3" t="s">
        <v>15</v>
      </c>
      <c r="C41" s="4" t="s">
        <v>12</v>
      </c>
      <c r="D41" s="4" t="s">
        <v>14</v>
      </c>
      <c r="E41" s="4" t="s">
        <v>12</v>
      </c>
      <c r="F41" s="4" t="s">
        <v>12</v>
      </c>
      <c r="G41" s="4" t="n">
        <v>9</v>
      </c>
      <c r="H41" s="5" t="n">
        <v>408.88</v>
      </c>
      <c r="I41" s="5" t="n">
        <v>111.38</v>
      </c>
      <c r="J41" s="5" t="n">
        <v>14.424</v>
      </c>
    </row>
    <row r="42" customFormat="false" ht="15" hidden="false" customHeight="false" outlineLevel="0" collapsed="false">
      <c r="A42" s="6" t="n">
        <v>3</v>
      </c>
      <c r="B42" s="6" t="s">
        <v>15</v>
      </c>
      <c r="C42" s="7" t="s">
        <v>12</v>
      </c>
      <c r="D42" s="7" t="s">
        <v>14</v>
      </c>
      <c r="E42" s="7" t="s">
        <v>12</v>
      </c>
      <c r="F42" s="7" t="s">
        <v>12</v>
      </c>
      <c r="G42" s="7" t="n">
        <v>10</v>
      </c>
      <c r="H42" s="8" t="n">
        <v>380.63</v>
      </c>
      <c r="I42" s="8" t="n">
        <v>107.16</v>
      </c>
      <c r="J42" s="8" t="n">
        <v>14.347</v>
      </c>
    </row>
    <row r="43" customFormat="false" ht="15" hidden="false" customHeight="false" outlineLevel="0" collapsed="false">
      <c r="A43" s="3" t="n">
        <v>3</v>
      </c>
      <c r="B43" s="3" t="s">
        <v>15</v>
      </c>
      <c r="C43" s="4" t="s">
        <v>12</v>
      </c>
      <c r="D43" s="4" t="s">
        <v>14</v>
      </c>
      <c r="E43" s="4" t="s">
        <v>12</v>
      </c>
      <c r="F43" s="4" t="s">
        <v>12</v>
      </c>
      <c r="G43" s="4" t="n">
        <v>11</v>
      </c>
      <c r="H43" s="5" t="n">
        <v>366.07</v>
      </c>
      <c r="I43" s="5" t="n">
        <v>103.41</v>
      </c>
      <c r="J43" s="5" t="n">
        <v>14.363</v>
      </c>
    </row>
    <row r="44" customFormat="false" ht="15" hidden="false" customHeight="false" outlineLevel="0" collapsed="false">
      <c r="A44" s="6" t="n">
        <v>3</v>
      </c>
      <c r="B44" s="6" t="s">
        <v>15</v>
      </c>
      <c r="C44" s="7" t="s">
        <v>12</v>
      </c>
      <c r="D44" s="7" t="s">
        <v>14</v>
      </c>
      <c r="E44" s="7" t="s">
        <v>12</v>
      </c>
      <c r="F44" s="7" t="s">
        <v>12</v>
      </c>
      <c r="G44" s="7" t="n">
        <v>12</v>
      </c>
      <c r="H44" s="8" t="n">
        <v>390.07</v>
      </c>
      <c r="I44" s="8" t="n">
        <v>109.3</v>
      </c>
      <c r="J44" s="8" t="n">
        <v>14.576</v>
      </c>
    </row>
    <row r="45" customFormat="false" ht="15" hidden="false" customHeight="false" outlineLevel="0" collapsed="false">
      <c r="A45" s="3" t="n">
        <v>3</v>
      </c>
      <c r="B45" s="3" t="s">
        <v>15</v>
      </c>
      <c r="C45" s="4" t="s">
        <v>12</v>
      </c>
      <c r="D45" s="4" t="s">
        <v>14</v>
      </c>
      <c r="E45" s="4" t="s">
        <v>12</v>
      </c>
      <c r="F45" s="4" t="s">
        <v>12</v>
      </c>
      <c r="G45" s="4" t="n">
        <v>13</v>
      </c>
      <c r="H45" s="5" t="n">
        <v>400.75</v>
      </c>
      <c r="I45" s="5" t="n">
        <v>108.3</v>
      </c>
      <c r="J45" s="5" t="n">
        <v>14.391</v>
      </c>
    </row>
    <row r="46" customFormat="false" ht="15" hidden="false" customHeight="false" outlineLevel="0" collapsed="false">
      <c r="A46" s="6" t="n">
        <v>3</v>
      </c>
      <c r="B46" s="6" t="s">
        <v>15</v>
      </c>
      <c r="C46" s="7" t="s">
        <v>12</v>
      </c>
      <c r="D46" s="7" t="s">
        <v>14</v>
      </c>
      <c r="E46" s="7" t="s">
        <v>12</v>
      </c>
      <c r="F46" s="7" t="s">
        <v>12</v>
      </c>
      <c r="G46" s="7" t="n">
        <v>14</v>
      </c>
      <c r="H46" s="8" t="n">
        <v>392.08</v>
      </c>
      <c r="I46" s="8" t="n">
        <v>106.98</v>
      </c>
      <c r="J46" s="8" t="n">
        <v>14.54</v>
      </c>
    </row>
    <row r="47" customFormat="false" ht="15" hidden="false" customHeight="false" outlineLevel="0" collapsed="false">
      <c r="A47" s="3" t="n">
        <v>3</v>
      </c>
      <c r="B47" s="3" t="s">
        <v>15</v>
      </c>
      <c r="C47" s="4" t="s">
        <v>12</v>
      </c>
      <c r="D47" s="4" t="s">
        <v>14</v>
      </c>
      <c r="E47" s="4" t="s">
        <v>12</v>
      </c>
      <c r="F47" s="4" t="s">
        <v>12</v>
      </c>
      <c r="G47" s="4" t="n">
        <v>15</v>
      </c>
      <c r="H47" s="5" t="n">
        <v>379.76</v>
      </c>
      <c r="I47" s="5" t="n">
        <v>108.27</v>
      </c>
      <c r="J47" s="5" t="n">
        <v>14.455</v>
      </c>
    </row>
    <row r="48" customFormat="false" ht="15" hidden="false" customHeight="false" outlineLevel="0" collapsed="false">
      <c r="A48" s="9" t="n">
        <v>4</v>
      </c>
      <c r="B48" s="9" t="s">
        <v>16</v>
      </c>
      <c r="C48" s="10" t="s">
        <v>14</v>
      </c>
      <c r="D48" s="10" t="s">
        <v>14</v>
      </c>
      <c r="E48" s="10" t="s">
        <v>12</v>
      </c>
      <c r="F48" s="10" t="s">
        <v>12</v>
      </c>
      <c r="G48" s="10" t="n">
        <v>1</v>
      </c>
      <c r="H48" s="11" t="n">
        <v>281.62</v>
      </c>
      <c r="I48" s="11" t="n">
        <v>140.92</v>
      </c>
      <c r="J48" s="11" t="n">
        <v>13.317</v>
      </c>
    </row>
    <row r="49" customFormat="false" ht="15" hidden="false" customHeight="false" outlineLevel="0" collapsed="false">
      <c r="A49" s="6" t="n">
        <v>4</v>
      </c>
      <c r="B49" s="6" t="s">
        <v>16</v>
      </c>
      <c r="C49" s="7" t="s">
        <v>14</v>
      </c>
      <c r="D49" s="7" t="s">
        <v>14</v>
      </c>
      <c r="E49" s="7" t="s">
        <v>12</v>
      </c>
      <c r="F49" s="7" t="s">
        <v>12</v>
      </c>
      <c r="G49" s="7" t="n">
        <v>2</v>
      </c>
      <c r="H49" s="8" t="n">
        <v>301.61</v>
      </c>
      <c r="I49" s="8" t="n">
        <v>150.07</v>
      </c>
      <c r="J49" s="8" t="n">
        <v>13.345</v>
      </c>
    </row>
    <row r="50" customFormat="false" ht="15" hidden="false" customHeight="false" outlineLevel="0" collapsed="false">
      <c r="A50" s="9" t="n">
        <v>4</v>
      </c>
      <c r="B50" s="9" t="s">
        <v>16</v>
      </c>
      <c r="C50" s="10" t="s">
        <v>14</v>
      </c>
      <c r="D50" s="10" t="s">
        <v>14</v>
      </c>
      <c r="E50" s="10" t="s">
        <v>12</v>
      </c>
      <c r="F50" s="10" t="s">
        <v>12</v>
      </c>
      <c r="G50" s="10" t="n">
        <v>3</v>
      </c>
      <c r="H50" s="11" t="n">
        <v>285.65</v>
      </c>
      <c r="I50" s="11" t="n">
        <v>148.28</v>
      </c>
      <c r="J50" s="11" t="n">
        <v>13.295</v>
      </c>
    </row>
    <row r="51" customFormat="false" ht="15" hidden="false" customHeight="false" outlineLevel="0" collapsed="false">
      <c r="A51" s="6" t="n">
        <v>4</v>
      </c>
      <c r="B51" s="6" t="s">
        <v>16</v>
      </c>
      <c r="C51" s="7" t="s">
        <v>14</v>
      </c>
      <c r="D51" s="7" t="s">
        <v>14</v>
      </c>
      <c r="E51" s="7" t="s">
        <v>12</v>
      </c>
      <c r="F51" s="7" t="s">
        <v>12</v>
      </c>
      <c r="G51" s="7" t="n">
        <v>4</v>
      </c>
      <c r="H51" s="8" t="n">
        <v>304.95</v>
      </c>
      <c r="I51" s="8" t="n">
        <v>153.03</v>
      </c>
      <c r="J51" s="8" t="n">
        <v>13.439</v>
      </c>
    </row>
    <row r="52" customFormat="false" ht="15" hidden="false" customHeight="false" outlineLevel="0" collapsed="false">
      <c r="A52" s="9" t="n">
        <v>4</v>
      </c>
      <c r="B52" s="9" t="s">
        <v>16</v>
      </c>
      <c r="C52" s="10" t="s">
        <v>14</v>
      </c>
      <c r="D52" s="10" t="s">
        <v>14</v>
      </c>
      <c r="E52" s="10" t="s">
        <v>12</v>
      </c>
      <c r="F52" s="10" t="s">
        <v>12</v>
      </c>
      <c r="G52" s="10" t="n">
        <v>5</v>
      </c>
      <c r="H52" s="11" t="n">
        <v>307.84</v>
      </c>
      <c r="I52" s="11" t="n">
        <v>153.22</v>
      </c>
      <c r="J52" s="11" t="n">
        <v>13.341</v>
      </c>
    </row>
    <row r="53" customFormat="false" ht="15" hidden="false" customHeight="false" outlineLevel="0" collapsed="false">
      <c r="A53" s="6" t="n">
        <v>4</v>
      </c>
      <c r="B53" s="6" t="s">
        <v>16</v>
      </c>
      <c r="C53" s="7" t="s">
        <v>14</v>
      </c>
      <c r="D53" s="7" t="s">
        <v>14</v>
      </c>
      <c r="E53" s="7" t="s">
        <v>12</v>
      </c>
      <c r="F53" s="7" t="s">
        <v>12</v>
      </c>
      <c r="G53" s="7" t="n">
        <v>6</v>
      </c>
      <c r="H53" s="8" t="n">
        <v>285.49</v>
      </c>
      <c r="I53" s="8" t="n">
        <v>147.77</v>
      </c>
      <c r="J53" s="8" t="n">
        <v>13.327</v>
      </c>
    </row>
    <row r="54" customFormat="false" ht="15" hidden="false" customHeight="false" outlineLevel="0" collapsed="false">
      <c r="A54" s="9" t="n">
        <v>4</v>
      </c>
      <c r="B54" s="9" t="s">
        <v>16</v>
      </c>
      <c r="C54" s="10" t="s">
        <v>14</v>
      </c>
      <c r="D54" s="10" t="s">
        <v>14</v>
      </c>
      <c r="E54" s="10" t="s">
        <v>12</v>
      </c>
      <c r="F54" s="10" t="s">
        <v>12</v>
      </c>
      <c r="G54" s="10" t="n">
        <v>7</v>
      </c>
      <c r="H54" s="11" t="n">
        <v>309.01</v>
      </c>
      <c r="I54" s="11" t="n">
        <v>153.56</v>
      </c>
      <c r="J54" s="11" t="n">
        <v>13.356</v>
      </c>
    </row>
    <row r="55" customFormat="false" ht="15" hidden="false" customHeight="false" outlineLevel="0" collapsed="false">
      <c r="A55" s="6" t="n">
        <v>4</v>
      </c>
      <c r="B55" s="6" t="s">
        <v>16</v>
      </c>
      <c r="C55" s="7" t="s">
        <v>14</v>
      </c>
      <c r="D55" s="7" t="s">
        <v>14</v>
      </c>
      <c r="E55" s="7" t="s">
        <v>12</v>
      </c>
      <c r="F55" s="7" t="s">
        <v>12</v>
      </c>
      <c r="G55" s="7" t="n">
        <v>8</v>
      </c>
      <c r="H55" s="8" t="n">
        <v>301.05</v>
      </c>
      <c r="I55" s="8" t="n">
        <v>150.47</v>
      </c>
      <c r="J55" s="8" t="n">
        <v>13.296</v>
      </c>
    </row>
    <row r="56" customFormat="false" ht="15" hidden="false" customHeight="false" outlineLevel="0" collapsed="false">
      <c r="A56" s="9" t="n">
        <v>4</v>
      </c>
      <c r="B56" s="9" t="s">
        <v>16</v>
      </c>
      <c r="C56" s="10" t="s">
        <v>14</v>
      </c>
      <c r="D56" s="10" t="s">
        <v>14</v>
      </c>
      <c r="E56" s="10" t="s">
        <v>12</v>
      </c>
      <c r="F56" s="10" t="s">
        <v>12</v>
      </c>
      <c r="G56" s="10" t="n">
        <v>9</v>
      </c>
      <c r="H56" s="11" t="n">
        <v>277.5</v>
      </c>
      <c r="I56" s="11" t="n">
        <v>143.65</v>
      </c>
      <c r="J56" s="11" t="n">
        <v>13.319</v>
      </c>
    </row>
    <row r="57" customFormat="false" ht="15" hidden="false" customHeight="false" outlineLevel="0" collapsed="false">
      <c r="A57" s="6" t="n">
        <v>4</v>
      </c>
      <c r="B57" s="6" t="s">
        <v>16</v>
      </c>
      <c r="C57" s="7" t="s">
        <v>14</v>
      </c>
      <c r="D57" s="7" t="s">
        <v>14</v>
      </c>
      <c r="E57" s="7" t="s">
        <v>12</v>
      </c>
      <c r="F57" s="7" t="s">
        <v>12</v>
      </c>
      <c r="G57" s="7" t="n">
        <v>10</v>
      </c>
      <c r="H57" s="8" t="n">
        <v>305.56</v>
      </c>
      <c r="I57" s="8" t="n">
        <v>148.57</v>
      </c>
      <c r="J57" s="8" t="n">
        <v>13.404</v>
      </c>
    </row>
    <row r="58" customFormat="false" ht="15" hidden="false" customHeight="false" outlineLevel="0" collapsed="false">
      <c r="A58" s="9" t="n">
        <v>4</v>
      </c>
      <c r="B58" s="9" t="s">
        <v>16</v>
      </c>
      <c r="C58" s="10" t="s">
        <v>14</v>
      </c>
      <c r="D58" s="10" t="s">
        <v>14</v>
      </c>
      <c r="E58" s="10" t="s">
        <v>12</v>
      </c>
      <c r="F58" s="10" t="s">
        <v>12</v>
      </c>
      <c r="G58" s="10" t="n">
        <v>11</v>
      </c>
      <c r="H58" s="11" t="n">
        <v>318.79</v>
      </c>
      <c r="I58" s="11" t="n">
        <v>157.81</v>
      </c>
      <c r="J58" s="11" t="n">
        <v>13.373</v>
      </c>
    </row>
    <row r="59" customFormat="false" ht="15" hidden="false" customHeight="false" outlineLevel="0" collapsed="false">
      <c r="A59" s="6" t="n">
        <v>4</v>
      </c>
      <c r="B59" s="6" t="s">
        <v>16</v>
      </c>
      <c r="C59" s="7" t="s">
        <v>14</v>
      </c>
      <c r="D59" s="7" t="s">
        <v>14</v>
      </c>
      <c r="E59" s="7" t="s">
        <v>12</v>
      </c>
      <c r="F59" s="7" t="s">
        <v>12</v>
      </c>
      <c r="G59" s="7" t="n">
        <v>12</v>
      </c>
      <c r="H59" s="8" t="n">
        <v>298.51</v>
      </c>
      <c r="I59" s="8" t="n">
        <v>152.11</v>
      </c>
      <c r="J59" s="8" t="n">
        <v>13.388</v>
      </c>
    </row>
    <row r="60" customFormat="false" ht="15" hidden="false" customHeight="false" outlineLevel="0" collapsed="false">
      <c r="A60" s="9" t="n">
        <v>4</v>
      </c>
      <c r="B60" s="9" t="s">
        <v>16</v>
      </c>
      <c r="C60" s="10" t="s">
        <v>14</v>
      </c>
      <c r="D60" s="10" t="s">
        <v>14</v>
      </c>
      <c r="E60" s="10" t="s">
        <v>12</v>
      </c>
      <c r="F60" s="10" t="s">
        <v>12</v>
      </c>
      <c r="G60" s="10" t="n">
        <v>13</v>
      </c>
      <c r="H60" s="11" t="n">
        <v>303.71</v>
      </c>
      <c r="I60" s="11" t="n">
        <v>151.35</v>
      </c>
      <c r="J60" s="11" t="n">
        <v>13.391</v>
      </c>
    </row>
    <row r="61" customFormat="false" ht="15" hidden="false" customHeight="false" outlineLevel="0" collapsed="false">
      <c r="A61" s="6" t="n">
        <v>4</v>
      </c>
      <c r="B61" s="6" t="s">
        <v>16</v>
      </c>
      <c r="C61" s="7" t="s">
        <v>14</v>
      </c>
      <c r="D61" s="7" t="s">
        <v>14</v>
      </c>
      <c r="E61" s="7" t="s">
        <v>12</v>
      </c>
      <c r="F61" s="7" t="s">
        <v>12</v>
      </c>
      <c r="G61" s="7" t="n">
        <v>14</v>
      </c>
      <c r="H61" s="8" t="n">
        <v>285.77</v>
      </c>
      <c r="I61" s="8" t="n">
        <v>145.23</v>
      </c>
      <c r="J61" s="8" t="n">
        <v>13.28</v>
      </c>
    </row>
    <row r="62" customFormat="false" ht="15" hidden="false" customHeight="false" outlineLevel="0" collapsed="false">
      <c r="A62" s="9" t="n">
        <v>4</v>
      </c>
      <c r="B62" s="9" t="s">
        <v>16</v>
      </c>
      <c r="C62" s="10" t="s">
        <v>14</v>
      </c>
      <c r="D62" s="10" t="s">
        <v>14</v>
      </c>
      <c r="E62" s="10" t="s">
        <v>12</v>
      </c>
      <c r="F62" s="10" t="s">
        <v>12</v>
      </c>
      <c r="G62" s="10" t="n">
        <v>15</v>
      </c>
      <c r="H62" s="11" t="n">
        <v>309.08</v>
      </c>
      <c r="I62" s="11" t="n">
        <v>152.9</v>
      </c>
      <c r="J62" s="11" t="n">
        <v>13.39</v>
      </c>
    </row>
    <row r="63" customFormat="false" ht="15" hidden="false" customHeight="false" outlineLevel="0" collapsed="false">
      <c r="A63" s="3" t="n">
        <v>5</v>
      </c>
      <c r="B63" s="3" t="s">
        <v>17</v>
      </c>
      <c r="C63" s="4" t="s">
        <v>12</v>
      </c>
      <c r="D63" s="4" t="s">
        <v>12</v>
      </c>
      <c r="E63" s="4" t="s">
        <v>14</v>
      </c>
      <c r="F63" s="4" t="s">
        <v>12</v>
      </c>
      <c r="G63" s="4" t="n">
        <v>1</v>
      </c>
      <c r="H63" s="5" t="n">
        <v>444.38</v>
      </c>
      <c r="I63" s="5" t="n">
        <v>11.04</v>
      </c>
      <c r="J63" s="5" t="n">
        <v>16.051</v>
      </c>
    </row>
    <row r="64" customFormat="false" ht="15" hidden="false" customHeight="false" outlineLevel="0" collapsed="false">
      <c r="A64" s="6" t="n">
        <v>5</v>
      </c>
      <c r="B64" s="6" t="s">
        <v>17</v>
      </c>
      <c r="C64" s="7" t="s">
        <v>12</v>
      </c>
      <c r="D64" s="7" t="s">
        <v>12</v>
      </c>
      <c r="E64" s="7" t="s">
        <v>14</v>
      </c>
      <c r="F64" s="7" t="s">
        <v>12</v>
      </c>
      <c r="G64" s="7" t="n">
        <v>2</v>
      </c>
      <c r="H64" s="8" t="n">
        <v>575.68</v>
      </c>
      <c r="I64" s="8" t="n">
        <v>10.76</v>
      </c>
      <c r="J64" s="8" t="n">
        <v>15.978</v>
      </c>
    </row>
    <row r="65" customFormat="false" ht="15" hidden="false" customHeight="false" outlineLevel="0" collapsed="false">
      <c r="A65" s="3" t="n">
        <v>5</v>
      </c>
      <c r="B65" s="3" t="s">
        <v>17</v>
      </c>
      <c r="C65" s="4" t="s">
        <v>12</v>
      </c>
      <c r="D65" s="4" t="s">
        <v>12</v>
      </c>
      <c r="E65" s="4" t="s">
        <v>14</v>
      </c>
      <c r="F65" s="4" t="s">
        <v>12</v>
      </c>
      <c r="G65" s="4" t="n">
        <v>3</v>
      </c>
      <c r="H65" s="5" t="n">
        <v>586.61</v>
      </c>
      <c r="I65" s="5" t="n">
        <v>11.9</v>
      </c>
      <c r="J65" s="5" t="n">
        <v>15.998</v>
      </c>
    </row>
    <row r="66" customFormat="false" ht="15" hidden="false" customHeight="false" outlineLevel="0" collapsed="false">
      <c r="A66" s="6" t="n">
        <v>5</v>
      </c>
      <c r="B66" s="6" t="s">
        <v>17</v>
      </c>
      <c r="C66" s="7" t="s">
        <v>12</v>
      </c>
      <c r="D66" s="7" t="s">
        <v>12</v>
      </c>
      <c r="E66" s="7" t="s">
        <v>14</v>
      </c>
      <c r="F66" s="7" t="s">
        <v>12</v>
      </c>
      <c r="G66" s="7" t="n">
        <v>4</v>
      </c>
      <c r="H66" s="8" t="n">
        <v>528.34</v>
      </c>
      <c r="I66" s="8" t="n">
        <v>9.4</v>
      </c>
      <c r="J66" s="8" t="n">
        <v>16.036</v>
      </c>
    </row>
    <row r="67" customFormat="false" ht="15" hidden="false" customHeight="false" outlineLevel="0" collapsed="false">
      <c r="A67" s="3" t="n">
        <v>5</v>
      </c>
      <c r="B67" s="3" t="s">
        <v>17</v>
      </c>
      <c r="C67" s="4" t="s">
        <v>12</v>
      </c>
      <c r="D67" s="4" t="s">
        <v>12</v>
      </c>
      <c r="E67" s="4" t="s">
        <v>14</v>
      </c>
      <c r="F67" s="4" t="s">
        <v>12</v>
      </c>
      <c r="G67" s="4" t="n">
        <v>5</v>
      </c>
      <c r="H67" s="5" t="n">
        <v>663.51</v>
      </c>
      <c r="I67" s="5" t="n">
        <v>11.24</v>
      </c>
      <c r="J67" s="5" t="n">
        <v>16.172</v>
      </c>
    </row>
    <row r="68" customFormat="false" ht="15" hidden="false" customHeight="false" outlineLevel="0" collapsed="false">
      <c r="A68" s="6" t="n">
        <v>5</v>
      </c>
      <c r="B68" s="6" t="s">
        <v>17</v>
      </c>
      <c r="C68" s="7" t="s">
        <v>12</v>
      </c>
      <c r="D68" s="7" t="s">
        <v>12</v>
      </c>
      <c r="E68" s="7" t="s">
        <v>14</v>
      </c>
      <c r="F68" s="7" t="s">
        <v>12</v>
      </c>
      <c r="G68" s="7" t="n">
        <v>6</v>
      </c>
      <c r="H68" s="8" t="n">
        <v>663.38</v>
      </c>
      <c r="I68" s="8" t="n">
        <v>12.72</v>
      </c>
      <c r="J68" s="8" t="n">
        <v>16.156</v>
      </c>
    </row>
    <row r="69" customFormat="false" ht="15" hidden="false" customHeight="false" outlineLevel="0" collapsed="false">
      <c r="A69" s="3" t="n">
        <v>5</v>
      </c>
      <c r="B69" s="3" t="s">
        <v>17</v>
      </c>
      <c r="C69" s="4" t="s">
        <v>12</v>
      </c>
      <c r="D69" s="4" t="s">
        <v>12</v>
      </c>
      <c r="E69" s="4" t="s">
        <v>14</v>
      </c>
      <c r="F69" s="4" t="s">
        <v>12</v>
      </c>
      <c r="G69" s="4" t="n">
        <v>7</v>
      </c>
      <c r="H69" s="5" t="n">
        <v>654.97</v>
      </c>
      <c r="I69" s="5" t="n">
        <v>10.25</v>
      </c>
      <c r="J69" s="5" t="n">
        <v>16.024</v>
      </c>
    </row>
    <row r="70" customFormat="false" ht="15" hidden="false" customHeight="false" outlineLevel="0" collapsed="false">
      <c r="A70" s="6" t="n">
        <v>5</v>
      </c>
      <c r="B70" s="6" t="s">
        <v>17</v>
      </c>
      <c r="C70" s="7" t="s">
        <v>12</v>
      </c>
      <c r="D70" s="7" t="s">
        <v>12</v>
      </c>
      <c r="E70" s="7" t="s">
        <v>14</v>
      </c>
      <c r="F70" s="7" t="s">
        <v>12</v>
      </c>
      <c r="G70" s="7" t="n">
        <v>8</v>
      </c>
      <c r="H70" s="8" t="n">
        <v>574.89</v>
      </c>
      <c r="I70" s="8" t="n">
        <v>11.48</v>
      </c>
      <c r="J70" s="8" t="n">
        <v>15.946</v>
      </c>
    </row>
    <row r="71" customFormat="false" ht="15" hidden="false" customHeight="false" outlineLevel="0" collapsed="false">
      <c r="A71" s="3" t="n">
        <v>5</v>
      </c>
      <c r="B71" s="3" t="s">
        <v>17</v>
      </c>
      <c r="C71" s="4" t="s">
        <v>12</v>
      </c>
      <c r="D71" s="4" t="s">
        <v>12</v>
      </c>
      <c r="E71" s="4" t="s">
        <v>14</v>
      </c>
      <c r="F71" s="4" t="s">
        <v>12</v>
      </c>
      <c r="G71" s="4" t="n">
        <v>9</v>
      </c>
      <c r="H71" s="5" t="n">
        <v>551.33</v>
      </c>
      <c r="I71" s="5" t="n">
        <v>12.26</v>
      </c>
      <c r="J71" s="5" t="n">
        <v>16.12</v>
      </c>
    </row>
    <row r="72" customFormat="false" ht="15" hidden="false" customHeight="false" outlineLevel="0" collapsed="false">
      <c r="A72" s="6" t="n">
        <v>5</v>
      </c>
      <c r="B72" s="6" t="s">
        <v>17</v>
      </c>
      <c r="C72" s="7" t="s">
        <v>12</v>
      </c>
      <c r="D72" s="7" t="s">
        <v>12</v>
      </c>
      <c r="E72" s="7" t="s">
        <v>14</v>
      </c>
      <c r="F72" s="7" t="s">
        <v>12</v>
      </c>
      <c r="G72" s="7" t="n">
        <v>10</v>
      </c>
      <c r="H72" s="8" t="n">
        <v>639.11</v>
      </c>
      <c r="I72" s="8" t="n">
        <v>11.82</v>
      </c>
      <c r="J72" s="8" t="n">
        <v>16.1</v>
      </c>
    </row>
    <row r="73" customFormat="false" ht="15" hidden="false" customHeight="false" outlineLevel="0" collapsed="false">
      <c r="A73" s="3" t="n">
        <v>5</v>
      </c>
      <c r="B73" s="3" t="s">
        <v>17</v>
      </c>
      <c r="C73" s="4" t="s">
        <v>12</v>
      </c>
      <c r="D73" s="4" t="s">
        <v>12</v>
      </c>
      <c r="E73" s="4" t="s">
        <v>14</v>
      </c>
      <c r="F73" s="4" t="s">
        <v>12</v>
      </c>
      <c r="G73" s="4" t="n">
        <v>11</v>
      </c>
      <c r="H73" s="5" t="n">
        <v>656.27</v>
      </c>
      <c r="I73" s="5" t="n">
        <v>9.97</v>
      </c>
      <c r="J73" s="5" t="n">
        <v>16.188</v>
      </c>
    </row>
    <row r="74" customFormat="false" ht="15" hidden="false" customHeight="false" outlineLevel="0" collapsed="false">
      <c r="A74" s="6" t="n">
        <v>5</v>
      </c>
      <c r="B74" s="6" t="s">
        <v>17</v>
      </c>
      <c r="C74" s="7" t="s">
        <v>12</v>
      </c>
      <c r="D74" s="7" t="s">
        <v>12</v>
      </c>
      <c r="E74" s="7" t="s">
        <v>14</v>
      </c>
      <c r="F74" s="7" t="s">
        <v>12</v>
      </c>
      <c r="G74" s="7" t="n">
        <v>12</v>
      </c>
      <c r="H74" s="8" t="n">
        <v>421.29</v>
      </c>
      <c r="I74" s="8" t="n">
        <v>10.93</v>
      </c>
      <c r="J74" s="8" t="n">
        <v>16.056</v>
      </c>
    </row>
    <row r="75" customFormat="false" ht="15" hidden="false" customHeight="false" outlineLevel="0" collapsed="false">
      <c r="A75" s="3" t="n">
        <v>5</v>
      </c>
      <c r="B75" s="3" t="s">
        <v>17</v>
      </c>
      <c r="C75" s="4" t="s">
        <v>12</v>
      </c>
      <c r="D75" s="4" t="s">
        <v>12</v>
      </c>
      <c r="E75" s="4" t="s">
        <v>14</v>
      </c>
      <c r="F75" s="4" t="s">
        <v>12</v>
      </c>
      <c r="G75" s="4" t="n">
        <v>13</v>
      </c>
      <c r="H75" s="5" t="n">
        <v>571.97</v>
      </c>
      <c r="I75" s="5" t="n">
        <v>10.25</v>
      </c>
      <c r="J75" s="5" t="n">
        <v>15.94</v>
      </c>
    </row>
    <row r="76" customFormat="false" ht="15" hidden="false" customHeight="false" outlineLevel="0" collapsed="false">
      <c r="A76" s="6" t="n">
        <v>5</v>
      </c>
      <c r="B76" s="6" t="s">
        <v>17</v>
      </c>
      <c r="C76" s="7" t="s">
        <v>12</v>
      </c>
      <c r="D76" s="7" t="s">
        <v>12</v>
      </c>
      <c r="E76" s="7" t="s">
        <v>14</v>
      </c>
      <c r="F76" s="7" t="s">
        <v>12</v>
      </c>
      <c r="G76" s="7" t="n">
        <v>14</v>
      </c>
      <c r="H76" s="8" t="n">
        <v>519.34</v>
      </c>
      <c r="I76" s="8" t="n">
        <v>10.49</v>
      </c>
      <c r="J76" s="8" t="n">
        <v>16.083</v>
      </c>
    </row>
    <row r="77" customFormat="false" ht="15" hidden="false" customHeight="false" outlineLevel="0" collapsed="false">
      <c r="A77" s="3" t="n">
        <v>5</v>
      </c>
      <c r="B77" s="3" t="s">
        <v>17</v>
      </c>
      <c r="C77" s="4" t="s">
        <v>12</v>
      </c>
      <c r="D77" s="4" t="s">
        <v>12</v>
      </c>
      <c r="E77" s="4" t="s">
        <v>14</v>
      </c>
      <c r="F77" s="4" t="s">
        <v>12</v>
      </c>
      <c r="G77" s="4" t="n">
        <v>15</v>
      </c>
      <c r="H77" s="5" t="n">
        <v>476.52</v>
      </c>
      <c r="I77" s="5" t="n">
        <v>10.45</v>
      </c>
      <c r="J77" s="5" t="n">
        <v>15.943</v>
      </c>
    </row>
    <row r="78" customFormat="false" ht="15" hidden="false" customHeight="false" outlineLevel="0" collapsed="false">
      <c r="A78" s="6" t="n">
        <v>5</v>
      </c>
      <c r="B78" s="6" t="s">
        <v>17</v>
      </c>
      <c r="C78" s="7" t="s">
        <v>12</v>
      </c>
      <c r="D78" s="7" t="s">
        <v>12</v>
      </c>
      <c r="E78" s="7" t="s">
        <v>14</v>
      </c>
      <c r="F78" s="7" t="s">
        <v>12</v>
      </c>
      <c r="G78" s="7" t="n">
        <v>16</v>
      </c>
      <c r="H78" s="8" t="n">
        <v>709.01</v>
      </c>
      <c r="I78" s="8" t="n">
        <v>11.85</v>
      </c>
      <c r="J78" s="8" t="n">
        <v>16.095</v>
      </c>
    </row>
    <row r="79" customFormat="false" ht="15" hidden="false" customHeight="false" outlineLevel="0" collapsed="false">
      <c r="A79" s="3" t="n">
        <v>5</v>
      </c>
      <c r="B79" s="3" t="s">
        <v>17</v>
      </c>
      <c r="C79" s="4" t="s">
        <v>12</v>
      </c>
      <c r="D79" s="4" t="s">
        <v>12</v>
      </c>
      <c r="E79" s="4" t="s">
        <v>14</v>
      </c>
      <c r="F79" s="4" t="s">
        <v>12</v>
      </c>
      <c r="G79" s="4" t="n">
        <v>17</v>
      </c>
      <c r="H79" s="5" t="n">
        <v>571.57</v>
      </c>
      <c r="I79" s="5" t="n">
        <v>11.59</v>
      </c>
      <c r="J79" s="5" t="n">
        <v>16.148</v>
      </c>
    </row>
    <row r="80" customFormat="false" ht="15" hidden="false" customHeight="false" outlineLevel="0" collapsed="false">
      <c r="A80" s="6" t="n">
        <v>5</v>
      </c>
      <c r="B80" s="6" t="s">
        <v>17</v>
      </c>
      <c r="C80" s="7" t="s">
        <v>12</v>
      </c>
      <c r="D80" s="7" t="s">
        <v>12</v>
      </c>
      <c r="E80" s="7" t="s">
        <v>14</v>
      </c>
      <c r="F80" s="7" t="s">
        <v>12</v>
      </c>
      <c r="G80" s="7" t="n">
        <v>18</v>
      </c>
      <c r="H80" s="8" t="n">
        <v>623.48</v>
      </c>
      <c r="I80" s="8" t="n">
        <v>12.34</v>
      </c>
      <c r="J80" s="8" t="n">
        <v>16.134</v>
      </c>
    </row>
    <row r="81" customFormat="false" ht="15" hidden="false" customHeight="false" outlineLevel="0" collapsed="false">
      <c r="A81" s="3" t="n">
        <v>5</v>
      </c>
      <c r="B81" s="3" t="s">
        <v>17</v>
      </c>
      <c r="C81" s="4" t="s">
        <v>12</v>
      </c>
      <c r="D81" s="4" t="s">
        <v>12</v>
      </c>
      <c r="E81" s="4" t="s">
        <v>14</v>
      </c>
      <c r="F81" s="4" t="s">
        <v>12</v>
      </c>
      <c r="G81" s="4" t="n">
        <v>19</v>
      </c>
      <c r="H81" s="5" t="n">
        <v>652.84</v>
      </c>
      <c r="I81" s="5" t="n">
        <v>12.91</v>
      </c>
      <c r="J81" s="5" t="n">
        <v>16.304</v>
      </c>
    </row>
    <row r="82" customFormat="false" ht="15" hidden="false" customHeight="false" outlineLevel="0" collapsed="false">
      <c r="A82" s="6" t="n">
        <v>5</v>
      </c>
      <c r="B82" s="6" t="s">
        <v>17</v>
      </c>
      <c r="C82" s="7" t="s">
        <v>12</v>
      </c>
      <c r="D82" s="7" t="s">
        <v>12</v>
      </c>
      <c r="E82" s="7" t="s">
        <v>14</v>
      </c>
      <c r="F82" s="7" t="s">
        <v>12</v>
      </c>
      <c r="G82" s="7" t="n">
        <v>20</v>
      </c>
      <c r="H82" s="8" t="n">
        <v>582.58</v>
      </c>
      <c r="I82" s="8" t="n">
        <v>11.95</v>
      </c>
      <c r="J82" s="8" t="n">
        <v>15.97</v>
      </c>
    </row>
    <row r="83" customFormat="false" ht="15" hidden="false" customHeight="false" outlineLevel="0" collapsed="false">
      <c r="A83" s="3" t="n">
        <v>5</v>
      </c>
      <c r="B83" s="3" t="s">
        <v>17</v>
      </c>
      <c r="C83" s="4" t="s">
        <v>12</v>
      </c>
      <c r="D83" s="4" t="s">
        <v>12</v>
      </c>
      <c r="E83" s="4" t="s">
        <v>14</v>
      </c>
      <c r="F83" s="4" t="s">
        <v>12</v>
      </c>
      <c r="G83" s="4" t="n">
        <v>21</v>
      </c>
      <c r="H83" s="5" t="n">
        <v>485.12</v>
      </c>
      <c r="I83" s="5" t="n">
        <v>12.24</v>
      </c>
      <c r="J83" s="5" t="n">
        <v>15.894</v>
      </c>
    </row>
    <row r="84" customFormat="false" ht="15" hidden="false" customHeight="false" outlineLevel="0" collapsed="false">
      <c r="A84" s="6" t="n">
        <v>5</v>
      </c>
      <c r="B84" s="6" t="s">
        <v>17</v>
      </c>
      <c r="C84" s="7" t="s">
        <v>12</v>
      </c>
      <c r="D84" s="7" t="s">
        <v>12</v>
      </c>
      <c r="E84" s="7" t="s">
        <v>14</v>
      </c>
      <c r="F84" s="7" t="s">
        <v>12</v>
      </c>
      <c r="G84" s="7" t="n">
        <v>22</v>
      </c>
      <c r="H84" s="8" t="n">
        <v>459.14</v>
      </c>
      <c r="I84" s="8" t="n">
        <v>13.71</v>
      </c>
      <c r="J84" s="8" t="n">
        <v>16.001</v>
      </c>
    </row>
    <row r="85" customFormat="false" ht="15" hidden="false" customHeight="false" outlineLevel="0" collapsed="false">
      <c r="A85" s="3" t="n">
        <v>5</v>
      </c>
      <c r="B85" s="3" t="s">
        <v>17</v>
      </c>
      <c r="C85" s="4" t="s">
        <v>12</v>
      </c>
      <c r="D85" s="4" t="s">
        <v>12</v>
      </c>
      <c r="E85" s="4" t="s">
        <v>14</v>
      </c>
      <c r="F85" s="4" t="s">
        <v>12</v>
      </c>
      <c r="G85" s="4" t="n">
        <v>23</v>
      </c>
      <c r="H85" s="5" t="n">
        <v>580.26</v>
      </c>
      <c r="I85" s="5" t="n">
        <v>11.37</v>
      </c>
      <c r="J85" s="5" t="n">
        <v>15.989</v>
      </c>
    </row>
    <row r="86" customFormat="false" ht="15" hidden="false" customHeight="false" outlineLevel="0" collapsed="false">
      <c r="A86" s="6" t="n">
        <v>5</v>
      </c>
      <c r="B86" s="6" t="s">
        <v>17</v>
      </c>
      <c r="C86" s="7" t="s">
        <v>12</v>
      </c>
      <c r="D86" s="7" t="s">
        <v>12</v>
      </c>
      <c r="E86" s="7" t="s">
        <v>14</v>
      </c>
      <c r="F86" s="7" t="s">
        <v>12</v>
      </c>
      <c r="G86" s="7" t="n">
        <v>24</v>
      </c>
      <c r="H86" s="8" t="n">
        <v>527.34</v>
      </c>
      <c r="I86" s="8" t="n">
        <v>11.57</v>
      </c>
      <c r="J86" s="8" t="n">
        <v>16.05</v>
      </c>
    </row>
    <row r="87" customFormat="false" ht="15" hidden="false" customHeight="false" outlineLevel="0" collapsed="false">
      <c r="A87" s="3" t="n">
        <v>5</v>
      </c>
      <c r="B87" s="3" t="s">
        <v>17</v>
      </c>
      <c r="C87" s="4" t="s">
        <v>12</v>
      </c>
      <c r="D87" s="4" t="s">
        <v>12</v>
      </c>
      <c r="E87" s="4" t="s">
        <v>14</v>
      </c>
      <c r="F87" s="4" t="s">
        <v>12</v>
      </c>
      <c r="G87" s="4" t="n">
        <v>25</v>
      </c>
      <c r="H87" s="5" t="n">
        <v>527.99</v>
      </c>
      <c r="I87" s="5" t="n">
        <v>12.25</v>
      </c>
      <c r="J87" s="5" t="n">
        <v>15.994</v>
      </c>
    </row>
    <row r="88" customFormat="false" ht="15" hidden="false" customHeight="false" outlineLevel="0" collapsed="false">
      <c r="A88" s="6" t="n">
        <v>5</v>
      </c>
      <c r="B88" s="6" t="s">
        <v>17</v>
      </c>
      <c r="C88" s="7" t="s">
        <v>12</v>
      </c>
      <c r="D88" s="7" t="s">
        <v>12</v>
      </c>
      <c r="E88" s="7" t="s">
        <v>14</v>
      </c>
      <c r="F88" s="7" t="s">
        <v>12</v>
      </c>
      <c r="G88" s="7" t="n">
        <v>26</v>
      </c>
      <c r="H88" s="8" t="n">
        <v>597.95</v>
      </c>
      <c r="I88" s="8" t="n">
        <v>10.8</v>
      </c>
      <c r="J88" s="8" t="n">
        <v>16.033</v>
      </c>
    </row>
    <row r="89" customFormat="false" ht="15" hidden="false" customHeight="false" outlineLevel="0" collapsed="false">
      <c r="A89" s="3" t="n">
        <v>5</v>
      </c>
      <c r="B89" s="3" t="s">
        <v>17</v>
      </c>
      <c r="C89" s="4" t="s">
        <v>12</v>
      </c>
      <c r="D89" s="4" t="s">
        <v>12</v>
      </c>
      <c r="E89" s="4" t="s">
        <v>14</v>
      </c>
      <c r="F89" s="4" t="s">
        <v>12</v>
      </c>
      <c r="G89" s="4" t="n">
        <v>27</v>
      </c>
      <c r="H89" s="5" t="n">
        <v>577.28</v>
      </c>
      <c r="I89" s="5" t="n">
        <v>13.02</v>
      </c>
      <c r="J89" s="5" t="n">
        <v>16.08</v>
      </c>
    </row>
    <row r="90" customFormat="false" ht="15" hidden="false" customHeight="false" outlineLevel="0" collapsed="false">
      <c r="A90" s="6" t="n">
        <v>5</v>
      </c>
      <c r="B90" s="6" t="s">
        <v>17</v>
      </c>
      <c r="C90" s="7" t="s">
        <v>12</v>
      </c>
      <c r="D90" s="7" t="s">
        <v>12</v>
      </c>
      <c r="E90" s="7" t="s">
        <v>14</v>
      </c>
      <c r="F90" s="7" t="s">
        <v>12</v>
      </c>
      <c r="G90" s="7" t="n">
        <v>28</v>
      </c>
      <c r="H90" s="8" t="n">
        <v>541.02</v>
      </c>
      <c r="I90" s="8" t="n">
        <v>11.04</v>
      </c>
      <c r="J90" s="8" t="n">
        <v>15.97</v>
      </c>
    </row>
    <row r="91" customFormat="false" ht="15" hidden="false" customHeight="false" outlineLevel="0" collapsed="false">
      <c r="A91" s="3" t="n">
        <v>5</v>
      </c>
      <c r="B91" s="3" t="s">
        <v>17</v>
      </c>
      <c r="C91" s="4" t="s">
        <v>12</v>
      </c>
      <c r="D91" s="4" t="s">
        <v>12</v>
      </c>
      <c r="E91" s="4" t="s">
        <v>14</v>
      </c>
      <c r="F91" s="4" t="s">
        <v>12</v>
      </c>
      <c r="G91" s="4" t="n">
        <v>29</v>
      </c>
      <c r="H91" s="5" t="n">
        <v>605.32</v>
      </c>
      <c r="I91" s="5" t="n">
        <v>12.88</v>
      </c>
      <c r="J91" s="5" t="n">
        <v>16.078</v>
      </c>
    </row>
    <row r="92" customFormat="false" ht="15" hidden="false" customHeight="false" outlineLevel="0" collapsed="false">
      <c r="A92" s="6" t="n">
        <v>5</v>
      </c>
      <c r="B92" s="6" t="s">
        <v>17</v>
      </c>
      <c r="C92" s="7" t="s">
        <v>12</v>
      </c>
      <c r="D92" s="7" t="s">
        <v>12</v>
      </c>
      <c r="E92" s="7" t="s">
        <v>14</v>
      </c>
      <c r="F92" s="7" t="s">
        <v>12</v>
      </c>
      <c r="G92" s="7" t="n">
        <v>30</v>
      </c>
      <c r="H92" s="8" t="n">
        <v>597.27</v>
      </c>
      <c r="I92" s="8" t="n">
        <v>11.18</v>
      </c>
      <c r="J92" s="8" t="n">
        <v>16.083</v>
      </c>
    </row>
    <row r="93" customFormat="false" ht="15" hidden="false" customHeight="false" outlineLevel="0" collapsed="false">
      <c r="A93" s="3" t="n">
        <v>5</v>
      </c>
      <c r="B93" s="3" t="s">
        <v>17</v>
      </c>
      <c r="C93" s="4" t="s">
        <v>12</v>
      </c>
      <c r="D93" s="4" t="s">
        <v>12</v>
      </c>
      <c r="E93" s="4" t="s">
        <v>14</v>
      </c>
      <c r="F93" s="4" t="s">
        <v>12</v>
      </c>
      <c r="G93" s="4" t="n">
        <v>31</v>
      </c>
      <c r="H93" s="5" t="n">
        <v>595</v>
      </c>
      <c r="I93" s="5" t="n">
        <v>12.64</v>
      </c>
      <c r="J93" s="5" t="n">
        <v>16.122</v>
      </c>
    </row>
    <row r="94" customFormat="false" ht="15" hidden="false" customHeight="false" outlineLevel="0" collapsed="false">
      <c r="A94" s="6" t="n">
        <v>5</v>
      </c>
      <c r="B94" s="6" t="s">
        <v>17</v>
      </c>
      <c r="C94" s="7" t="s">
        <v>12</v>
      </c>
      <c r="D94" s="7" t="s">
        <v>12</v>
      </c>
      <c r="E94" s="7" t="s">
        <v>14</v>
      </c>
      <c r="F94" s="7" t="s">
        <v>12</v>
      </c>
      <c r="G94" s="7" t="n">
        <v>32</v>
      </c>
      <c r="H94" s="8" t="n">
        <v>503.33</v>
      </c>
      <c r="I94" s="8" t="n">
        <v>11.48</v>
      </c>
      <c r="J94" s="8" t="n">
        <v>16.05</v>
      </c>
    </row>
    <row r="95" customFormat="false" ht="15" hidden="false" customHeight="false" outlineLevel="0" collapsed="false">
      <c r="A95" s="3" t="n">
        <v>5</v>
      </c>
      <c r="B95" s="3" t="s">
        <v>17</v>
      </c>
      <c r="C95" s="4" t="s">
        <v>12</v>
      </c>
      <c r="D95" s="4" t="s">
        <v>12</v>
      </c>
      <c r="E95" s="4" t="s">
        <v>14</v>
      </c>
      <c r="F95" s="4" t="s">
        <v>12</v>
      </c>
      <c r="G95" s="4" t="n">
        <v>33</v>
      </c>
      <c r="H95" s="5" t="n">
        <v>640.33</v>
      </c>
      <c r="I95" s="5" t="n">
        <v>14.62</v>
      </c>
      <c r="J95" s="5" t="n">
        <v>16.161</v>
      </c>
    </row>
    <row r="96" customFormat="false" ht="15" hidden="false" customHeight="false" outlineLevel="0" collapsed="false">
      <c r="A96" s="6" t="n">
        <v>5</v>
      </c>
      <c r="B96" s="6" t="s">
        <v>17</v>
      </c>
      <c r="C96" s="7" t="s">
        <v>12</v>
      </c>
      <c r="D96" s="7" t="s">
        <v>12</v>
      </c>
      <c r="E96" s="7" t="s">
        <v>14</v>
      </c>
      <c r="F96" s="7" t="s">
        <v>12</v>
      </c>
      <c r="G96" s="7" t="n">
        <v>34</v>
      </c>
      <c r="H96" s="8" t="n">
        <v>697.09</v>
      </c>
      <c r="I96" s="8" t="n">
        <v>10.89</v>
      </c>
      <c r="J96" s="8" t="n">
        <v>16.198</v>
      </c>
    </row>
    <row r="97" customFormat="false" ht="15" hidden="false" customHeight="false" outlineLevel="0" collapsed="false">
      <c r="A97" s="3" t="n">
        <v>5</v>
      </c>
      <c r="B97" s="3" t="s">
        <v>17</v>
      </c>
      <c r="C97" s="4" t="s">
        <v>12</v>
      </c>
      <c r="D97" s="4" t="s">
        <v>12</v>
      </c>
      <c r="E97" s="4" t="s">
        <v>14</v>
      </c>
      <c r="F97" s="4" t="s">
        <v>12</v>
      </c>
      <c r="G97" s="4" t="n">
        <v>35</v>
      </c>
      <c r="H97" s="5" t="n">
        <v>509.1</v>
      </c>
      <c r="I97" s="5" t="n">
        <v>12.83</v>
      </c>
      <c r="J97" s="5" t="n">
        <v>16.006</v>
      </c>
    </row>
    <row r="98" customFormat="false" ht="15" hidden="false" customHeight="false" outlineLevel="0" collapsed="false">
      <c r="A98" s="6" t="n">
        <v>5</v>
      </c>
      <c r="B98" s="6" t="s">
        <v>17</v>
      </c>
      <c r="C98" s="7" t="s">
        <v>12</v>
      </c>
      <c r="D98" s="7" t="s">
        <v>12</v>
      </c>
      <c r="E98" s="7" t="s">
        <v>14</v>
      </c>
      <c r="F98" s="7" t="s">
        <v>12</v>
      </c>
      <c r="G98" s="7" t="n">
        <v>36</v>
      </c>
      <c r="H98" s="8" t="n">
        <v>646.31</v>
      </c>
      <c r="I98" s="8" t="n">
        <v>12.19</v>
      </c>
      <c r="J98" s="8" t="n">
        <v>16.086</v>
      </c>
    </row>
    <row r="99" customFormat="false" ht="15" hidden="false" customHeight="false" outlineLevel="0" collapsed="false">
      <c r="A99" s="9" t="n">
        <v>6</v>
      </c>
      <c r="B99" s="9" t="s">
        <v>18</v>
      </c>
      <c r="C99" s="10" t="s">
        <v>14</v>
      </c>
      <c r="D99" s="10" t="s">
        <v>12</v>
      </c>
      <c r="E99" s="10" t="s">
        <v>14</v>
      </c>
      <c r="F99" s="10" t="s">
        <v>12</v>
      </c>
      <c r="G99" s="10" t="n">
        <v>1</v>
      </c>
      <c r="H99" s="11" t="n">
        <v>517.8</v>
      </c>
      <c r="I99" s="11" t="n">
        <v>11.4</v>
      </c>
      <c r="J99" s="11" t="n">
        <v>26.599</v>
      </c>
    </row>
    <row r="100" customFormat="false" ht="15" hidden="false" customHeight="false" outlineLevel="0" collapsed="false">
      <c r="A100" s="6" t="n">
        <v>6</v>
      </c>
      <c r="B100" s="6" t="s">
        <v>18</v>
      </c>
      <c r="C100" s="7" t="s">
        <v>14</v>
      </c>
      <c r="D100" s="7" t="s">
        <v>12</v>
      </c>
      <c r="E100" s="7" t="s">
        <v>14</v>
      </c>
      <c r="F100" s="7" t="s">
        <v>12</v>
      </c>
      <c r="G100" s="7" t="n">
        <v>2</v>
      </c>
      <c r="H100" s="8" t="n">
        <v>550.65</v>
      </c>
      <c r="I100" s="8" t="n">
        <v>10.78</v>
      </c>
      <c r="J100" s="8" t="n">
        <v>26.747</v>
      </c>
    </row>
    <row r="101" customFormat="false" ht="15" hidden="false" customHeight="false" outlineLevel="0" collapsed="false">
      <c r="A101" s="9" t="n">
        <v>6</v>
      </c>
      <c r="B101" s="9" t="s">
        <v>18</v>
      </c>
      <c r="C101" s="10" t="s">
        <v>14</v>
      </c>
      <c r="D101" s="10" t="s">
        <v>12</v>
      </c>
      <c r="E101" s="10" t="s">
        <v>14</v>
      </c>
      <c r="F101" s="10" t="s">
        <v>12</v>
      </c>
      <c r="G101" s="10" t="n">
        <v>3</v>
      </c>
      <c r="H101" s="11" t="n">
        <v>443.04</v>
      </c>
      <c r="I101" s="11" t="n">
        <v>12.46</v>
      </c>
      <c r="J101" s="11" t="n">
        <v>26.507</v>
      </c>
    </row>
    <row r="102" customFormat="false" ht="15" hidden="false" customHeight="false" outlineLevel="0" collapsed="false">
      <c r="A102" s="6" t="n">
        <v>6</v>
      </c>
      <c r="B102" s="6" t="s">
        <v>18</v>
      </c>
      <c r="C102" s="7" t="s">
        <v>14</v>
      </c>
      <c r="D102" s="7" t="s">
        <v>12</v>
      </c>
      <c r="E102" s="7" t="s">
        <v>14</v>
      </c>
      <c r="F102" s="7" t="s">
        <v>12</v>
      </c>
      <c r="G102" s="7" t="n">
        <v>4</v>
      </c>
      <c r="H102" s="8" t="n">
        <v>431.28</v>
      </c>
      <c r="I102" s="8" t="n">
        <v>12.48</v>
      </c>
      <c r="J102" s="8" t="n">
        <v>26.477</v>
      </c>
    </row>
    <row r="103" customFormat="false" ht="15" hidden="false" customHeight="false" outlineLevel="0" collapsed="false">
      <c r="A103" s="9" t="n">
        <v>6</v>
      </c>
      <c r="B103" s="9" t="s">
        <v>18</v>
      </c>
      <c r="C103" s="10" t="s">
        <v>14</v>
      </c>
      <c r="D103" s="10" t="s">
        <v>12</v>
      </c>
      <c r="E103" s="10" t="s">
        <v>14</v>
      </c>
      <c r="F103" s="10" t="s">
        <v>12</v>
      </c>
      <c r="G103" s="10" t="n">
        <v>5</v>
      </c>
      <c r="H103" s="11" t="n">
        <v>490.52</v>
      </c>
      <c r="I103" s="11" t="n">
        <v>9.83</v>
      </c>
      <c r="J103" s="11" t="n">
        <v>26.633</v>
      </c>
    </row>
    <row r="104" customFormat="false" ht="15" hidden="false" customHeight="false" outlineLevel="0" collapsed="false">
      <c r="A104" s="6" t="n">
        <v>6</v>
      </c>
      <c r="B104" s="6" t="s">
        <v>18</v>
      </c>
      <c r="C104" s="7" t="s">
        <v>14</v>
      </c>
      <c r="D104" s="7" t="s">
        <v>12</v>
      </c>
      <c r="E104" s="7" t="s">
        <v>14</v>
      </c>
      <c r="F104" s="7" t="s">
        <v>12</v>
      </c>
      <c r="G104" s="7" t="n">
        <v>6</v>
      </c>
      <c r="H104" s="8" t="n">
        <v>499.98</v>
      </c>
      <c r="I104" s="8" t="n">
        <v>10.37</v>
      </c>
      <c r="J104" s="8" t="n">
        <v>26.48</v>
      </c>
    </row>
    <row r="105" customFormat="false" ht="15" hidden="false" customHeight="false" outlineLevel="0" collapsed="false">
      <c r="A105" s="9" t="n">
        <v>6</v>
      </c>
      <c r="B105" s="9" t="s">
        <v>18</v>
      </c>
      <c r="C105" s="10" t="s">
        <v>14</v>
      </c>
      <c r="D105" s="10" t="s">
        <v>12</v>
      </c>
      <c r="E105" s="10" t="s">
        <v>14</v>
      </c>
      <c r="F105" s="10" t="s">
        <v>12</v>
      </c>
      <c r="G105" s="10" t="n">
        <v>7</v>
      </c>
      <c r="H105" s="11" t="n">
        <v>488.28</v>
      </c>
      <c r="I105" s="11" t="n">
        <v>11.77</v>
      </c>
      <c r="J105" s="11" t="n">
        <v>26.478</v>
      </c>
    </row>
    <row r="106" customFormat="false" ht="15" hidden="false" customHeight="false" outlineLevel="0" collapsed="false">
      <c r="A106" s="6" t="n">
        <v>6</v>
      </c>
      <c r="B106" s="6" t="s">
        <v>18</v>
      </c>
      <c r="C106" s="7" t="s">
        <v>14</v>
      </c>
      <c r="D106" s="7" t="s">
        <v>12</v>
      </c>
      <c r="E106" s="7" t="s">
        <v>14</v>
      </c>
      <c r="F106" s="7" t="s">
        <v>12</v>
      </c>
      <c r="G106" s="7" t="n">
        <v>8</v>
      </c>
      <c r="H106" s="8" t="n">
        <v>531.55</v>
      </c>
      <c r="I106" s="8" t="n">
        <v>13.43</v>
      </c>
      <c r="J106" s="8" t="n">
        <v>26.794</v>
      </c>
    </row>
    <row r="107" customFormat="false" ht="15" hidden="false" customHeight="false" outlineLevel="0" collapsed="false">
      <c r="A107" s="9" t="n">
        <v>6</v>
      </c>
      <c r="B107" s="9" t="s">
        <v>18</v>
      </c>
      <c r="C107" s="10" t="s">
        <v>14</v>
      </c>
      <c r="D107" s="10" t="s">
        <v>12</v>
      </c>
      <c r="E107" s="10" t="s">
        <v>14</v>
      </c>
      <c r="F107" s="10" t="s">
        <v>12</v>
      </c>
      <c r="G107" s="10" t="n">
        <v>9</v>
      </c>
      <c r="H107" s="11" t="n">
        <v>500.87</v>
      </c>
      <c r="I107" s="11" t="n">
        <v>11.11</v>
      </c>
      <c r="J107" s="11" t="n">
        <v>26.597</v>
      </c>
    </row>
    <row r="108" customFormat="false" ht="15" hidden="false" customHeight="false" outlineLevel="0" collapsed="false">
      <c r="A108" s="6" t="n">
        <v>6</v>
      </c>
      <c r="B108" s="6" t="s">
        <v>18</v>
      </c>
      <c r="C108" s="7" t="s">
        <v>14</v>
      </c>
      <c r="D108" s="7" t="s">
        <v>12</v>
      </c>
      <c r="E108" s="7" t="s">
        <v>14</v>
      </c>
      <c r="F108" s="7" t="s">
        <v>12</v>
      </c>
      <c r="G108" s="7" t="n">
        <v>10</v>
      </c>
      <c r="H108" s="8" t="n">
        <v>488.2</v>
      </c>
      <c r="I108" s="8" t="n">
        <v>10.08</v>
      </c>
      <c r="J108" s="8" t="n">
        <v>26.467</v>
      </c>
    </row>
    <row r="109" customFormat="false" ht="15" hidden="false" customHeight="false" outlineLevel="0" collapsed="false">
      <c r="A109" s="9" t="n">
        <v>6</v>
      </c>
      <c r="B109" s="9" t="s">
        <v>18</v>
      </c>
      <c r="C109" s="10" t="s">
        <v>14</v>
      </c>
      <c r="D109" s="10" t="s">
        <v>12</v>
      </c>
      <c r="E109" s="10" t="s">
        <v>14</v>
      </c>
      <c r="F109" s="10" t="s">
        <v>12</v>
      </c>
      <c r="G109" s="10" t="n">
        <v>11</v>
      </c>
      <c r="H109" s="11" t="n">
        <v>497.7</v>
      </c>
      <c r="I109" s="11" t="n">
        <v>10.77</v>
      </c>
      <c r="J109" s="11" t="n">
        <v>26.827</v>
      </c>
    </row>
    <row r="110" customFormat="false" ht="15" hidden="false" customHeight="false" outlineLevel="0" collapsed="false">
      <c r="A110" s="6" t="n">
        <v>6</v>
      </c>
      <c r="B110" s="6" t="s">
        <v>18</v>
      </c>
      <c r="C110" s="7" t="s">
        <v>14</v>
      </c>
      <c r="D110" s="7" t="s">
        <v>12</v>
      </c>
      <c r="E110" s="7" t="s">
        <v>14</v>
      </c>
      <c r="F110" s="7" t="s">
        <v>12</v>
      </c>
      <c r="G110" s="7" t="n">
        <v>12</v>
      </c>
      <c r="H110" s="8" t="n">
        <v>484.94</v>
      </c>
      <c r="I110" s="8" t="n">
        <v>10.84</v>
      </c>
      <c r="J110" s="8" t="n">
        <v>26.547</v>
      </c>
    </row>
    <row r="111" customFormat="false" ht="15" hidden="false" customHeight="false" outlineLevel="0" collapsed="false">
      <c r="A111" s="9" t="n">
        <v>6</v>
      </c>
      <c r="B111" s="9" t="s">
        <v>18</v>
      </c>
      <c r="C111" s="10" t="s">
        <v>14</v>
      </c>
      <c r="D111" s="10" t="s">
        <v>12</v>
      </c>
      <c r="E111" s="10" t="s">
        <v>14</v>
      </c>
      <c r="F111" s="10" t="s">
        <v>12</v>
      </c>
      <c r="G111" s="10" t="n">
        <v>13</v>
      </c>
      <c r="H111" s="11" t="n">
        <v>539.58</v>
      </c>
      <c r="I111" s="11" t="n">
        <v>11.03</v>
      </c>
      <c r="J111" s="11" t="n">
        <v>26.569</v>
      </c>
    </row>
    <row r="112" customFormat="false" ht="15" hidden="false" customHeight="false" outlineLevel="0" collapsed="false">
      <c r="A112" s="6" t="n">
        <v>6</v>
      </c>
      <c r="B112" s="6" t="s">
        <v>18</v>
      </c>
      <c r="C112" s="7" t="s">
        <v>14</v>
      </c>
      <c r="D112" s="7" t="s">
        <v>12</v>
      </c>
      <c r="E112" s="7" t="s">
        <v>14</v>
      </c>
      <c r="F112" s="7" t="s">
        <v>12</v>
      </c>
      <c r="G112" s="7" t="n">
        <v>14</v>
      </c>
      <c r="H112" s="8" t="n">
        <v>587.69</v>
      </c>
      <c r="I112" s="8" t="n">
        <v>11.87</v>
      </c>
      <c r="J112" s="8" t="n">
        <v>26.582</v>
      </c>
    </row>
    <row r="113" customFormat="false" ht="15" hidden="false" customHeight="false" outlineLevel="0" collapsed="false">
      <c r="A113" s="9" t="n">
        <v>6</v>
      </c>
      <c r="B113" s="9" t="s">
        <v>18</v>
      </c>
      <c r="C113" s="10" t="s">
        <v>14</v>
      </c>
      <c r="D113" s="10" t="s">
        <v>12</v>
      </c>
      <c r="E113" s="10" t="s">
        <v>14</v>
      </c>
      <c r="F113" s="10" t="s">
        <v>12</v>
      </c>
      <c r="G113" s="10" t="n">
        <v>15</v>
      </c>
      <c r="H113" s="11" t="n">
        <v>356.22</v>
      </c>
      <c r="I113" s="11" t="n">
        <v>9.94</v>
      </c>
      <c r="J113" s="11" t="n">
        <v>26.619</v>
      </c>
    </row>
    <row r="114" customFormat="false" ht="15" hidden="false" customHeight="false" outlineLevel="0" collapsed="false">
      <c r="A114" s="6" t="n">
        <v>6</v>
      </c>
      <c r="B114" s="6" t="s">
        <v>18</v>
      </c>
      <c r="C114" s="7" t="s">
        <v>14</v>
      </c>
      <c r="D114" s="7" t="s">
        <v>12</v>
      </c>
      <c r="E114" s="7" t="s">
        <v>14</v>
      </c>
      <c r="F114" s="7" t="s">
        <v>12</v>
      </c>
      <c r="G114" s="7" t="n">
        <v>16</v>
      </c>
      <c r="H114" s="8" t="n">
        <v>470.4</v>
      </c>
      <c r="I114" s="8" t="n">
        <v>10.22</v>
      </c>
      <c r="J114" s="8" t="n">
        <v>26.547</v>
      </c>
    </row>
    <row r="115" customFormat="false" ht="15" hidden="false" customHeight="false" outlineLevel="0" collapsed="false">
      <c r="A115" s="9" t="n">
        <v>6</v>
      </c>
      <c r="B115" s="9" t="s">
        <v>18</v>
      </c>
      <c r="C115" s="10" t="s">
        <v>14</v>
      </c>
      <c r="D115" s="10" t="s">
        <v>12</v>
      </c>
      <c r="E115" s="10" t="s">
        <v>14</v>
      </c>
      <c r="F115" s="10" t="s">
        <v>12</v>
      </c>
      <c r="G115" s="10" t="n">
        <v>17</v>
      </c>
      <c r="H115" s="11" t="n">
        <v>515.16</v>
      </c>
      <c r="I115" s="11" t="n">
        <v>12.37</v>
      </c>
      <c r="J115" s="11" t="n">
        <v>26.646</v>
      </c>
    </row>
    <row r="116" customFormat="false" ht="15" hidden="false" customHeight="false" outlineLevel="0" collapsed="false">
      <c r="A116" s="6" t="n">
        <v>6</v>
      </c>
      <c r="B116" s="6" t="s">
        <v>18</v>
      </c>
      <c r="C116" s="7" t="s">
        <v>14</v>
      </c>
      <c r="D116" s="7" t="s">
        <v>12</v>
      </c>
      <c r="E116" s="7" t="s">
        <v>14</v>
      </c>
      <c r="F116" s="7" t="s">
        <v>12</v>
      </c>
      <c r="G116" s="7" t="n">
        <v>18</v>
      </c>
      <c r="H116" s="8" t="n">
        <v>431.9</v>
      </c>
      <c r="I116" s="8" t="n">
        <v>10.14</v>
      </c>
      <c r="J116" s="8" t="n">
        <v>26.442</v>
      </c>
    </row>
    <row r="117" customFormat="false" ht="15" hidden="false" customHeight="false" outlineLevel="0" collapsed="false">
      <c r="A117" s="9" t="n">
        <v>6</v>
      </c>
      <c r="B117" s="9" t="s">
        <v>18</v>
      </c>
      <c r="C117" s="10" t="s">
        <v>14</v>
      </c>
      <c r="D117" s="10" t="s">
        <v>12</v>
      </c>
      <c r="E117" s="10" t="s">
        <v>14</v>
      </c>
      <c r="F117" s="10" t="s">
        <v>12</v>
      </c>
      <c r="G117" s="10" t="n">
        <v>19</v>
      </c>
      <c r="H117" s="11" t="n">
        <v>489.86</v>
      </c>
      <c r="I117" s="11" t="n">
        <v>11.25</v>
      </c>
      <c r="J117" s="11" t="n">
        <v>26.632</v>
      </c>
    </row>
    <row r="118" customFormat="false" ht="15" hidden="false" customHeight="false" outlineLevel="0" collapsed="false">
      <c r="A118" s="6" t="n">
        <v>6</v>
      </c>
      <c r="B118" s="6" t="s">
        <v>18</v>
      </c>
      <c r="C118" s="7" t="s">
        <v>14</v>
      </c>
      <c r="D118" s="7" t="s">
        <v>12</v>
      </c>
      <c r="E118" s="7" t="s">
        <v>14</v>
      </c>
      <c r="F118" s="7" t="s">
        <v>12</v>
      </c>
      <c r="G118" s="7" t="n">
        <v>20</v>
      </c>
      <c r="H118" s="8" t="n">
        <v>475.42</v>
      </c>
      <c r="I118" s="8" t="n">
        <v>10.29</v>
      </c>
      <c r="J118" s="8" t="n">
        <v>26.465</v>
      </c>
    </row>
    <row r="119" customFormat="false" ht="15" hidden="false" customHeight="false" outlineLevel="0" collapsed="false">
      <c r="A119" s="9" t="n">
        <v>6</v>
      </c>
      <c r="B119" s="9" t="s">
        <v>18</v>
      </c>
      <c r="C119" s="10" t="s">
        <v>14</v>
      </c>
      <c r="D119" s="10" t="s">
        <v>12</v>
      </c>
      <c r="E119" s="10" t="s">
        <v>14</v>
      </c>
      <c r="F119" s="10" t="s">
        <v>12</v>
      </c>
      <c r="G119" s="10" t="n">
        <v>21</v>
      </c>
      <c r="H119" s="11" t="n">
        <v>432.24</v>
      </c>
      <c r="I119" s="11" t="n">
        <v>11.39</v>
      </c>
      <c r="J119" s="11" t="n">
        <v>26.503</v>
      </c>
    </row>
    <row r="120" customFormat="false" ht="15" hidden="false" customHeight="false" outlineLevel="0" collapsed="false">
      <c r="A120" s="6" t="n">
        <v>6</v>
      </c>
      <c r="B120" s="6" t="s">
        <v>18</v>
      </c>
      <c r="C120" s="7" t="s">
        <v>14</v>
      </c>
      <c r="D120" s="7" t="s">
        <v>12</v>
      </c>
      <c r="E120" s="7" t="s">
        <v>14</v>
      </c>
      <c r="F120" s="7" t="s">
        <v>12</v>
      </c>
      <c r="G120" s="7" t="n">
        <v>22</v>
      </c>
      <c r="H120" s="8" t="n">
        <v>437.44</v>
      </c>
      <c r="I120" s="8" t="n">
        <v>9</v>
      </c>
      <c r="J120" s="8" t="n">
        <v>26.488</v>
      </c>
    </row>
    <row r="121" customFormat="false" ht="15" hidden="false" customHeight="false" outlineLevel="0" collapsed="false">
      <c r="A121" s="9" t="n">
        <v>6</v>
      </c>
      <c r="B121" s="9" t="s">
        <v>18</v>
      </c>
      <c r="C121" s="10" t="s">
        <v>14</v>
      </c>
      <c r="D121" s="10" t="s">
        <v>12</v>
      </c>
      <c r="E121" s="10" t="s">
        <v>14</v>
      </c>
      <c r="F121" s="10" t="s">
        <v>12</v>
      </c>
      <c r="G121" s="10" t="n">
        <v>23</v>
      </c>
      <c r="H121" s="11" t="n">
        <v>466.61</v>
      </c>
      <c r="I121" s="11" t="n">
        <v>10.48</v>
      </c>
      <c r="J121" s="11" t="n">
        <v>26.717</v>
      </c>
    </row>
    <row r="122" customFormat="false" ht="15" hidden="false" customHeight="false" outlineLevel="0" collapsed="false">
      <c r="A122" s="3" t="n">
        <v>7</v>
      </c>
      <c r="B122" s="3" t="s">
        <v>19</v>
      </c>
      <c r="C122" s="4" t="s">
        <v>12</v>
      </c>
      <c r="D122" s="4" t="s">
        <v>14</v>
      </c>
      <c r="E122" s="4" t="s">
        <v>14</v>
      </c>
      <c r="F122" s="4" t="s">
        <v>12</v>
      </c>
      <c r="G122" s="4" t="n">
        <v>1</v>
      </c>
      <c r="H122" s="5" t="n">
        <v>201.37</v>
      </c>
      <c r="I122" s="5" t="n">
        <v>19.97</v>
      </c>
      <c r="J122" s="5" t="n">
        <v>16.28</v>
      </c>
    </row>
    <row r="123" customFormat="false" ht="15" hidden="false" customHeight="false" outlineLevel="0" collapsed="false">
      <c r="A123" s="6" t="n">
        <v>7</v>
      </c>
      <c r="B123" s="6" t="s">
        <v>19</v>
      </c>
      <c r="C123" s="7" t="s">
        <v>12</v>
      </c>
      <c r="D123" s="7" t="s">
        <v>14</v>
      </c>
      <c r="E123" s="7" t="s">
        <v>14</v>
      </c>
      <c r="F123" s="7" t="s">
        <v>12</v>
      </c>
      <c r="G123" s="7" t="n">
        <v>2</v>
      </c>
      <c r="H123" s="8" t="n">
        <v>198.24</v>
      </c>
      <c r="I123" s="8" t="n">
        <v>18.89</v>
      </c>
      <c r="J123" s="8" t="n">
        <v>16.406</v>
      </c>
    </row>
    <row r="124" customFormat="false" ht="15" hidden="false" customHeight="false" outlineLevel="0" collapsed="false">
      <c r="A124" s="3" t="n">
        <v>7</v>
      </c>
      <c r="B124" s="3" t="s">
        <v>19</v>
      </c>
      <c r="C124" s="4" t="s">
        <v>12</v>
      </c>
      <c r="D124" s="4" t="s">
        <v>14</v>
      </c>
      <c r="E124" s="4" t="s">
        <v>14</v>
      </c>
      <c r="F124" s="4" t="s">
        <v>12</v>
      </c>
      <c r="G124" s="4" t="n">
        <v>3</v>
      </c>
      <c r="H124" s="5" t="n">
        <v>207.07</v>
      </c>
      <c r="I124" s="5" t="n">
        <v>23.2</v>
      </c>
      <c r="J124" s="5" t="n">
        <v>16.593</v>
      </c>
    </row>
    <row r="125" customFormat="false" ht="15" hidden="false" customHeight="false" outlineLevel="0" collapsed="false">
      <c r="A125" s="6" t="n">
        <v>7</v>
      </c>
      <c r="B125" s="6" t="s">
        <v>19</v>
      </c>
      <c r="C125" s="7" t="s">
        <v>12</v>
      </c>
      <c r="D125" s="7" t="s">
        <v>14</v>
      </c>
      <c r="E125" s="7" t="s">
        <v>14</v>
      </c>
      <c r="F125" s="7" t="s">
        <v>12</v>
      </c>
      <c r="G125" s="7" t="n">
        <v>4</v>
      </c>
      <c r="H125" s="8" t="n">
        <v>192.56</v>
      </c>
      <c r="I125" s="8" t="n">
        <v>21.29</v>
      </c>
      <c r="J125" s="8" t="n">
        <v>16.4</v>
      </c>
    </row>
    <row r="126" customFormat="false" ht="15" hidden="false" customHeight="false" outlineLevel="0" collapsed="false">
      <c r="A126" s="3" t="n">
        <v>7</v>
      </c>
      <c r="B126" s="3" t="s">
        <v>19</v>
      </c>
      <c r="C126" s="4" t="s">
        <v>12</v>
      </c>
      <c r="D126" s="4" t="s">
        <v>14</v>
      </c>
      <c r="E126" s="4" t="s">
        <v>14</v>
      </c>
      <c r="F126" s="4" t="s">
        <v>12</v>
      </c>
      <c r="G126" s="4" t="n">
        <v>5</v>
      </c>
      <c r="H126" s="5" t="n">
        <v>188.73</v>
      </c>
      <c r="I126" s="5" t="n">
        <v>18.89</v>
      </c>
      <c r="J126" s="5" t="n">
        <v>16.251</v>
      </c>
    </row>
    <row r="127" customFormat="false" ht="15" hidden="false" customHeight="false" outlineLevel="0" collapsed="false">
      <c r="A127" s="6" t="n">
        <v>7</v>
      </c>
      <c r="B127" s="6" t="s">
        <v>19</v>
      </c>
      <c r="C127" s="7" t="s">
        <v>12</v>
      </c>
      <c r="D127" s="7" t="s">
        <v>14</v>
      </c>
      <c r="E127" s="7" t="s">
        <v>14</v>
      </c>
      <c r="F127" s="7" t="s">
        <v>12</v>
      </c>
      <c r="G127" s="7" t="n">
        <v>6</v>
      </c>
      <c r="H127" s="8" t="n">
        <v>192.43</v>
      </c>
      <c r="I127" s="8" t="n">
        <v>20.63</v>
      </c>
      <c r="J127" s="8" t="n">
        <v>16.439</v>
      </c>
    </row>
    <row r="128" customFormat="false" ht="15" hidden="false" customHeight="false" outlineLevel="0" collapsed="false">
      <c r="A128" s="3" t="n">
        <v>7</v>
      </c>
      <c r="B128" s="3" t="s">
        <v>19</v>
      </c>
      <c r="C128" s="4" t="s">
        <v>12</v>
      </c>
      <c r="D128" s="4" t="s">
        <v>14</v>
      </c>
      <c r="E128" s="4" t="s">
        <v>14</v>
      </c>
      <c r="F128" s="4" t="s">
        <v>12</v>
      </c>
      <c r="G128" s="4" t="n">
        <v>7</v>
      </c>
      <c r="H128" s="5" t="n">
        <v>217.72</v>
      </c>
      <c r="I128" s="5" t="n">
        <v>18.49</v>
      </c>
      <c r="J128" s="5" t="n">
        <v>16.569</v>
      </c>
    </row>
    <row r="129" customFormat="false" ht="15" hidden="false" customHeight="false" outlineLevel="0" collapsed="false">
      <c r="A129" s="6" t="n">
        <v>7</v>
      </c>
      <c r="B129" s="6" t="s">
        <v>19</v>
      </c>
      <c r="C129" s="7" t="s">
        <v>12</v>
      </c>
      <c r="D129" s="7" t="s">
        <v>14</v>
      </c>
      <c r="E129" s="7" t="s">
        <v>14</v>
      </c>
      <c r="F129" s="7" t="s">
        <v>12</v>
      </c>
      <c r="G129" s="7" t="n">
        <v>8</v>
      </c>
      <c r="H129" s="8" t="n">
        <v>176.25</v>
      </c>
      <c r="I129" s="8" t="n">
        <v>13.46</v>
      </c>
      <c r="J129" s="8" t="n">
        <v>16.256</v>
      </c>
    </row>
    <row r="130" customFormat="false" ht="15" hidden="false" customHeight="false" outlineLevel="0" collapsed="false">
      <c r="A130" s="3" t="n">
        <v>7</v>
      </c>
      <c r="B130" s="3" t="s">
        <v>19</v>
      </c>
      <c r="C130" s="4" t="s">
        <v>12</v>
      </c>
      <c r="D130" s="4" t="s">
        <v>14</v>
      </c>
      <c r="E130" s="4" t="s">
        <v>14</v>
      </c>
      <c r="F130" s="4" t="s">
        <v>12</v>
      </c>
      <c r="G130" s="4" t="n">
        <v>9</v>
      </c>
      <c r="H130" s="5" t="n">
        <v>191</v>
      </c>
      <c r="I130" s="5" t="n">
        <v>18.02</v>
      </c>
      <c r="J130" s="5" t="n">
        <v>16.228</v>
      </c>
    </row>
    <row r="131" customFormat="false" ht="15" hidden="false" customHeight="false" outlineLevel="0" collapsed="false">
      <c r="A131" s="6" t="n">
        <v>7</v>
      </c>
      <c r="B131" s="6" t="s">
        <v>19</v>
      </c>
      <c r="C131" s="7" t="s">
        <v>12</v>
      </c>
      <c r="D131" s="7" t="s">
        <v>14</v>
      </c>
      <c r="E131" s="7" t="s">
        <v>14</v>
      </c>
      <c r="F131" s="7" t="s">
        <v>12</v>
      </c>
      <c r="G131" s="7" t="n">
        <v>10</v>
      </c>
      <c r="H131" s="8" t="n">
        <v>196.63</v>
      </c>
      <c r="I131" s="8" t="n">
        <v>19.4</v>
      </c>
      <c r="J131" s="8" t="n">
        <v>16.328</v>
      </c>
    </row>
    <row r="132" customFormat="false" ht="15" hidden="false" customHeight="false" outlineLevel="0" collapsed="false">
      <c r="A132" s="3" t="n">
        <v>7</v>
      </c>
      <c r="B132" s="3" t="s">
        <v>19</v>
      </c>
      <c r="C132" s="4" t="s">
        <v>12</v>
      </c>
      <c r="D132" s="4" t="s">
        <v>14</v>
      </c>
      <c r="E132" s="4" t="s">
        <v>14</v>
      </c>
      <c r="F132" s="4" t="s">
        <v>12</v>
      </c>
      <c r="G132" s="4" t="n">
        <v>11</v>
      </c>
      <c r="H132" s="5" t="n">
        <v>180.37</v>
      </c>
      <c r="I132" s="5" t="n">
        <v>14.37</v>
      </c>
      <c r="J132" s="5" t="n">
        <v>16.291</v>
      </c>
    </row>
    <row r="133" customFormat="false" ht="15" hidden="false" customHeight="false" outlineLevel="0" collapsed="false">
      <c r="A133" s="6" t="n">
        <v>7</v>
      </c>
      <c r="B133" s="6" t="s">
        <v>19</v>
      </c>
      <c r="C133" s="7" t="s">
        <v>12</v>
      </c>
      <c r="D133" s="7" t="s">
        <v>14</v>
      </c>
      <c r="E133" s="7" t="s">
        <v>14</v>
      </c>
      <c r="F133" s="7" t="s">
        <v>12</v>
      </c>
      <c r="G133" s="7" t="n">
        <v>12</v>
      </c>
      <c r="H133" s="8" t="n">
        <v>180.3</v>
      </c>
      <c r="I133" s="8" t="n">
        <v>15.07</v>
      </c>
      <c r="J133" s="8" t="n">
        <v>16.31</v>
      </c>
    </row>
    <row r="134" customFormat="false" ht="15" hidden="false" customHeight="false" outlineLevel="0" collapsed="false">
      <c r="A134" s="3" t="n">
        <v>7</v>
      </c>
      <c r="B134" s="3" t="s">
        <v>19</v>
      </c>
      <c r="C134" s="4" t="s">
        <v>12</v>
      </c>
      <c r="D134" s="4" t="s">
        <v>14</v>
      </c>
      <c r="E134" s="4" t="s">
        <v>14</v>
      </c>
      <c r="F134" s="4" t="s">
        <v>12</v>
      </c>
      <c r="G134" s="4" t="n">
        <v>13</v>
      </c>
      <c r="H134" s="5" t="n">
        <v>191.05</v>
      </c>
      <c r="I134" s="5" t="n">
        <v>15.71</v>
      </c>
      <c r="J134" s="5" t="n">
        <v>16.282</v>
      </c>
    </row>
    <row r="135" customFormat="false" ht="15" hidden="false" customHeight="false" outlineLevel="0" collapsed="false">
      <c r="A135" s="6" t="n">
        <v>7</v>
      </c>
      <c r="B135" s="6" t="s">
        <v>19</v>
      </c>
      <c r="C135" s="7" t="s">
        <v>12</v>
      </c>
      <c r="D135" s="7" t="s">
        <v>14</v>
      </c>
      <c r="E135" s="7" t="s">
        <v>14</v>
      </c>
      <c r="F135" s="7" t="s">
        <v>12</v>
      </c>
      <c r="G135" s="7" t="n">
        <v>14</v>
      </c>
      <c r="H135" s="8" t="n">
        <v>181.55</v>
      </c>
      <c r="I135" s="8" t="n">
        <v>13.98</v>
      </c>
      <c r="J135" s="8" t="n">
        <v>16.231</v>
      </c>
    </row>
    <row r="136" customFormat="false" ht="15" hidden="false" customHeight="false" outlineLevel="0" collapsed="false">
      <c r="A136" s="3" t="n">
        <v>7</v>
      </c>
      <c r="B136" s="3" t="s">
        <v>19</v>
      </c>
      <c r="C136" s="4" t="s">
        <v>12</v>
      </c>
      <c r="D136" s="4" t="s">
        <v>14</v>
      </c>
      <c r="E136" s="4" t="s">
        <v>14</v>
      </c>
      <c r="F136" s="4" t="s">
        <v>12</v>
      </c>
      <c r="G136" s="4" t="n">
        <v>15</v>
      </c>
      <c r="H136" s="5" t="n">
        <v>180.1</v>
      </c>
      <c r="I136" s="5" t="n">
        <v>15.73</v>
      </c>
      <c r="J136" s="5" t="n">
        <v>16.331</v>
      </c>
    </row>
    <row r="137" customFormat="false" ht="15" hidden="false" customHeight="false" outlineLevel="0" collapsed="false">
      <c r="A137" s="6" t="n">
        <v>7</v>
      </c>
      <c r="B137" s="6" t="s">
        <v>19</v>
      </c>
      <c r="C137" s="7" t="s">
        <v>12</v>
      </c>
      <c r="D137" s="7" t="s">
        <v>14</v>
      </c>
      <c r="E137" s="7" t="s">
        <v>14</v>
      </c>
      <c r="F137" s="7" t="s">
        <v>12</v>
      </c>
      <c r="G137" s="7" t="n">
        <v>16</v>
      </c>
      <c r="H137" s="8" t="n">
        <v>192.05</v>
      </c>
      <c r="I137" s="8" t="n">
        <v>17.64</v>
      </c>
      <c r="J137" s="8" t="n">
        <v>16.235</v>
      </c>
    </row>
    <row r="138" customFormat="false" ht="15" hidden="false" customHeight="false" outlineLevel="0" collapsed="false">
      <c r="A138" s="3" t="n">
        <v>7</v>
      </c>
      <c r="B138" s="3" t="s">
        <v>19</v>
      </c>
      <c r="C138" s="4" t="s">
        <v>12</v>
      </c>
      <c r="D138" s="4" t="s">
        <v>14</v>
      </c>
      <c r="E138" s="4" t="s">
        <v>14</v>
      </c>
      <c r="F138" s="4" t="s">
        <v>12</v>
      </c>
      <c r="G138" s="4" t="n">
        <v>17</v>
      </c>
      <c r="H138" s="5" t="n">
        <v>185.37</v>
      </c>
      <c r="I138" s="5" t="n">
        <v>19.31</v>
      </c>
      <c r="J138" s="5" t="n">
        <v>16.468</v>
      </c>
    </row>
    <row r="139" customFormat="false" ht="15" hidden="false" customHeight="false" outlineLevel="0" collapsed="false">
      <c r="A139" s="6" t="n">
        <v>7</v>
      </c>
      <c r="B139" s="6" t="s">
        <v>19</v>
      </c>
      <c r="C139" s="7" t="s">
        <v>12</v>
      </c>
      <c r="D139" s="7" t="s">
        <v>14</v>
      </c>
      <c r="E139" s="7" t="s">
        <v>14</v>
      </c>
      <c r="F139" s="7" t="s">
        <v>12</v>
      </c>
      <c r="G139" s="7" t="n">
        <v>18</v>
      </c>
      <c r="H139" s="8" t="n">
        <v>191.23</v>
      </c>
      <c r="I139" s="8" t="n">
        <v>21.29</v>
      </c>
      <c r="J139" s="8" t="n">
        <v>16.502</v>
      </c>
    </row>
    <row r="140" customFormat="false" ht="15" hidden="false" customHeight="false" outlineLevel="0" collapsed="false">
      <c r="A140" s="3" t="n">
        <v>7</v>
      </c>
      <c r="B140" s="3" t="s">
        <v>19</v>
      </c>
      <c r="C140" s="4" t="s">
        <v>12</v>
      </c>
      <c r="D140" s="4" t="s">
        <v>14</v>
      </c>
      <c r="E140" s="4" t="s">
        <v>14</v>
      </c>
      <c r="F140" s="4" t="s">
        <v>12</v>
      </c>
      <c r="G140" s="4" t="n">
        <v>19</v>
      </c>
      <c r="H140" s="5" t="n">
        <v>190.32</v>
      </c>
      <c r="I140" s="5" t="n">
        <v>15.85</v>
      </c>
      <c r="J140" s="5" t="n">
        <v>16.268</v>
      </c>
    </row>
    <row r="141" customFormat="false" ht="15" hidden="false" customHeight="false" outlineLevel="0" collapsed="false">
      <c r="A141" s="6" t="n">
        <v>7</v>
      </c>
      <c r="B141" s="6" t="s">
        <v>19</v>
      </c>
      <c r="C141" s="7" t="s">
        <v>12</v>
      </c>
      <c r="D141" s="7" t="s">
        <v>14</v>
      </c>
      <c r="E141" s="7" t="s">
        <v>14</v>
      </c>
      <c r="F141" s="7" t="s">
        <v>12</v>
      </c>
      <c r="G141" s="7" t="n">
        <v>20</v>
      </c>
      <c r="H141" s="8" t="n">
        <v>178</v>
      </c>
      <c r="I141" s="8" t="n">
        <v>16</v>
      </c>
      <c r="J141" s="8" t="n">
        <v>16.277</v>
      </c>
    </row>
    <row r="142" customFormat="false" ht="15" hidden="false" customHeight="false" outlineLevel="0" collapsed="false">
      <c r="A142" s="3" t="n">
        <v>7</v>
      </c>
      <c r="B142" s="3" t="s">
        <v>19</v>
      </c>
      <c r="C142" s="4" t="s">
        <v>12</v>
      </c>
      <c r="D142" s="4" t="s">
        <v>14</v>
      </c>
      <c r="E142" s="4" t="s">
        <v>14</v>
      </c>
      <c r="F142" s="4" t="s">
        <v>12</v>
      </c>
      <c r="G142" s="4" t="n">
        <v>21</v>
      </c>
      <c r="H142" s="5" t="n">
        <v>181.36</v>
      </c>
      <c r="I142" s="5" t="n">
        <v>14.1</v>
      </c>
      <c r="J142" s="5" t="n">
        <v>16.283</v>
      </c>
    </row>
    <row r="143" customFormat="false" ht="15" hidden="false" customHeight="false" outlineLevel="0" collapsed="false">
      <c r="A143" s="6" t="n">
        <v>7</v>
      </c>
      <c r="B143" s="6" t="s">
        <v>19</v>
      </c>
      <c r="C143" s="7" t="s">
        <v>12</v>
      </c>
      <c r="D143" s="7" t="s">
        <v>14</v>
      </c>
      <c r="E143" s="7" t="s">
        <v>14</v>
      </c>
      <c r="F143" s="7" t="s">
        <v>12</v>
      </c>
      <c r="G143" s="7" t="n">
        <v>22</v>
      </c>
      <c r="H143" s="8" t="n">
        <v>189.76</v>
      </c>
      <c r="I143" s="8" t="n">
        <v>16.51</v>
      </c>
      <c r="J143" s="8" t="n">
        <v>16.333</v>
      </c>
    </row>
    <row r="144" customFormat="false" ht="15" hidden="false" customHeight="false" outlineLevel="0" collapsed="false">
      <c r="A144" s="3" t="n">
        <v>7</v>
      </c>
      <c r="B144" s="3" t="s">
        <v>19</v>
      </c>
      <c r="C144" s="4" t="s">
        <v>12</v>
      </c>
      <c r="D144" s="4" t="s">
        <v>14</v>
      </c>
      <c r="E144" s="4" t="s">
        <v>14</v>
      </c>
      <c r="F144" s="4" t="s">
        <v>12</v>
      </c>
      <c r="G144" s="4" t="n">
        <v>23</v>
      </c>
      <c r="H144" s="5" t="n">
        <v>183.06</v>
      </c>
      <c r="I144" s="5" t="n">
        <v>13.76</v>
      </c>
      <c r="J144" s="5" t="n">
        <v>16.265</v>
      </c>
    </row>
    <row r="145" customFormat="false" ht="15" hidden="false" customHeight="false" outlineLevel="0" collapsed="false">
      <c r="A145" s="6" t="n">
        <v>7</v>
      </c>
      <c r="B145" s="6" t="s">
        <v>19</v>
      </c>
      <c r="C145" s="7" t="s">
        <v>12</v>
      </c>
      <c r="D145" s="7" t="s">
        <v>14</v>
      </c>
      <c r="E145" s="7" t="s">
        <v>14</v>
      </c>
      <c r="F145" s="7" t="s">
        <v>12</v>
      </c>
      <c r="G145" s="7" t="n">
        <v>24</v>
      </c>
      <c r="H145" s="8" t="n">
        <v>208.95</v>
      </c>
      <c r="I145" s="8" t="n">
        <v>20.16</v>
      </c>
      <c r="J145" s="8" t="n">
        <v>16.354</v>
      </c>
    </row>
    <row r="146" customFormat="false" ht="15" hidden="false" customHeight="false" outlineLevel="0" collapsed="false">
      <c r="A146" s="3" t="n">
        <v>7</v>
      </c>
      <c r="B146" s="3" t="s">
        <v>19</v>
      </c>
      <c r="C146" s="4" t="s">
        <v>12</v>
      </c>
      <c r="D146" s="4" t="s">
        <v>14</v>
      </c>
      <c r="E146" s="4" t="s">
        <v>14</v>
      </c>
      <c r="F146" s="4" t="s">
        <v>12</v>
      </c>
      <c r="G146" s="4" t="n">
        <v>25</v>
      </c>
      <c r="H146" s="5" t="n">
        <v>199.06</v>
      </c>
      <c r="I146" s="5" t="n">
        <v>16.99</v>
      </c>
      <c r="J146" s="5" t="n">
        <v>16.449</v>
      </c>
    </row>
    <row r="147" customFormat="false" ht="15" hidden="false" customHeight="false" outlineLevel="0" collapsed="false">
      <c r="A147" s="6" t="n">
        <v>7</v>
      </c>
      <c r="B147" s="6" t="s">
        <v>19</v>
      </c>
      <c r="C147" s="7" t="s">
        <v>12</v>
      </c>
      <c r="D147" s="7" t="s">
        <v>14</v>
      </c>
      <c r="E147" s="7" t="s">
        <v>14</v>
      </c>
      <c r="F147" s="7" t="s">
        <v>12</v>
      </c>
      <c r="G147" s="7" t="n">
        <v>26</v>
      </c>
      <c r="H147" s="8" t="n">
        <v>187.64</v>
      </c>
      <c r="I147" s="8" t="n">
        <v>17.11</v>
      </c>
      <c r="J147" s="8" t="n">
        <v>16.3</v>
      </c>
    </row>
    <row r="148" customFormat="false" ht="15" hidden="false" customHeight="false" outlineLevel="0" collapsed="false">
      <c r="A148" s="3" t="n">
        <v>7</v>
      </c>
      <c r="B148" s="3" t="s">
        <v>19</v>
      </c>
      <c r="C148" s="4" t="s">
        <v>12</v>
      </c>
      <c r="D148" s="4" t="s">
        <v>14</v>
      </c>
      <c r="E148" s="4" t="s">
        <v>14</v>
      </c>
      <c r="F148" s="4" t="s">
        <v>12</v>
      </c>
      <c r="G148" s="4" t="n">
        <v>27</v>
      </c>
      <c r="H148" s="5" t="n">
        <v>207.76</v>
      </c>
      <c r="I148" s="5" t="n">
        <v>21.49</v>
      </c>
      <c r="J148" s="5" t="n">
        <v>16.385</v>
      </c>
    </row>
    <row r="149" customFormat="false" ht="15" hidden="false" customHeight="false" outlineLevel="0" collapsed="false">
      <c r="A149" s="6" t="n">
        <v>7</v>
      </c>
      <c r="B149" s="6" t="s">
        <v>19</v>
      </c>
      <c r="C149" s="7" t="s">
        <v>12</v>
      </c>
      <c r="D149" s="7" t="s">
        <v>14</v>
      </c>
      <c r="E149" s="7" t="s">
        <v>14</v>
      </c>
      <c r="F149" s="7" t="s">
        <v>12</v>
      </c>
      <c r="G149" s="7" t="n">
        <v>28</v>
      </c>
      <c r="H149" s="8" t="n">
        <v>184.52</v>
      </c>
      <c r="I149" s="8" t="n">
        <v>15.42</v>
      </c>
      <c r="J149" s="8" t="n">
        <v>16.246</v>
      </c>
    </row>
    <row r="150" customFormat="false" ht="15" hidden="false" customHeight="false" outlineLevel="0" collapsed="false">
      <c r="A150" s="3" t="n">
        <v>7</v>
      </c>
      <c r="B150" s="3" t="s">
        <v>19</v>
      </c>
      <c r="C150" s="4" t="s">
        <v>12</v>
      </c>
      <c r="D150" s="4" t="s">
        <v>14</v>
      </c>
      <c r="E150" s="4" t="s">
        <v>14</v>
      </c>
      <c r="F150" s="4" t="s">
        <v>12</v>
      </c>
      <c r="G150" s="4" t="n">
        <v>29</v>
      </c>
      <c r="H150" s="5" t="n">
        <v>205.34</v>
      </c>
      <c r="I150" s="5" t="n">
        <v>24.01</v>
      </c>
      <c r="J150" s="5" t="n">
        <v>16.543</v>
      </c>
    </row>
    <row r="151" customFormat="false" ht="15" hidden="false" customHeight="false" outlineLevel="0" collapsed="false">
      <c r="A151" s="6" t="n">
        <v>7</v>
      </c>
      <c r="B151" s="6" t="s">
        <v>19</v>
      </c>
      <c r="C151" s="7" t="s">
        <v>12</v>
      </c>
      <c r="D151" s="7" t="s">
        <v>14</v>
      </c>
      <c r="E151" s="7" t="s">
        <v>14</v>
      </c>
      <c r="F151" s="7" t="s">
        <v>12</v>
      </c>
      <c r="G151" s="7" t="n">
        <v>30</v>
      </c>
      <c r="H151" s="8" t="n">
        <v>202.93</v>
      </c>
      <c r="I151" s="8" t="n">
        <v>19.99</v>
      </c>
      <c r="J151" s="8" t="n">
        <v>16.386</v>
      </c>
    </row>
    <row r="152" customFormat="false" ht="15" hidden="false" customHeight="false" outlineLevel="0" collapsed="false">
      <c r="A152" s="3" t="n">
        <v>7</v>
      </c>
      <c r="B152" s="3" t="s">
        <v>19</v>
      </c>
      <c r="C152" s="4" t="s">
        <v>12</v>
      </c>
      <c r="D152" s="4" t="s">
        <v>14</v>
      </c>
      <c r="E152" s="4" t="s">
        <v>14</v>
      </c>
      <c r="F152" s="4" t="s">
        <v>12</v>
      </c>
      <c r="G152" s="4" t="n">
        <v>31</v>
      </c>
      <c r="H152" s="5" t="n">
        <v>207.57</v>
      </c>
      <c r="I152" s="5" t="n">
        <v>19.78</v>
      </c>
      <c r="J152" s="5" t="n">
        <v>16.334</v>
      </c>
    </row>
    <row r="153" customFormat="false" ht="15" hidden="false" customHeight="false" outlineLevel="0" collapsed="false">
      <c r="A153" s="6" t="n">
        <v>7</v>
      </c>
      <c r="B153" s="6" t="s">
        <v>19</v>
      </c>
      <c r="C153" s="7" t="s">
        <v>12</v>
      </c>
      <c r="D153" s="7" t="s">
        <v>14</v>
      </c>
      <c r="E153" s="7" t="s">
        <v>14</v>
      </c>
      <c r="F153" s="7" t="s">
        <v>12</v>
      </c>
      <c r="G153" s="7" t="n">
        <v>32</v>
      </c>
      <c r="H153" s="8" t="n">
        <v>192.88</v>
      </c>
      <c r="I153" s="8" t="n">
        <v>20.25</v>
      </c>
      <c r="J153" s="8" t="n">
        <v>16.25</v>
      </c>
    </row>
    <row r="154" customFormat="false" ht="15" hidden="false" customHeight="false" outlineLevel="0" collapsed="false">
      <c r="A154" s="3" t="n">
        <v>7</v>
      </c>
      <c r="B154" s="3" t="s">
        <v>19</v>
      </c>
      <c r="C154" s="4" t="s">
        <v>12</v>
      </c>
      <c r="D154" s="4" t="s">
        <v>14</v>
      </c>
      <c r="E154" s="4" t="s">
        <v>14</v>
      </c>
      <c r="F154" s="4" t="s">
        <v>12</v>
      </c>
      <c r="G154" s="4" t="n">
        <v>33</v>
      </c>
      <c r="H154" s="5" t="n">
        <v>200.97</v>
      </c>
      <c r="I154" s="5" t="n">
        <v>18.16</v>
      </c>
      <c r="J154" s="5" t="n">
        <v>16.402</v>
      </c>
    </row>
    <row r="155" customFormat="false" ht="15" hidden="false" customHeight="false" outlineLevel="0" collapsed="false">
      <c r="A155" s="6" t="n">
        <v>7</v>
      </c>
      <c r="B155" s="6" t="s">
        <v>19</v>
      </c>
      <c r="C155" s="7" t="s">
        <v>12</v>
      </c>
      <c r="D155" s="7" t="s">
        <v>14</v>
      </c>
      <c r="E155" s="7" t="s">
        <v>14</v>
      </c>
      <c r="F155" s="7" t="s">
        <v>12</v>
      </c>
      <c r="G155" s="7" t="n">
        <v>34</v>
      </c>
      <c r="H155" s="8" t="n">
        <v>189.95</v>
      </c>
      <c r="I155" s="8" t="n">
        <v>19.1</v>
      </c>
      <c r="J155" s="8" t="n">
        <v>16.288</v>
      </c>
    </row>
    <row r="156" customFormat="false" ht="15" hidden="false" customHeight="false" outlineLevel="0" collapsed="false">
      <c r="A156" s="3" t="n">
        <v>7</v>
      </c>
      <c r="B156" s="3" t="s">
        <v>19</v>
      </c>
      <c r="C156" s="4" t="s">
        <v>12</v>
      </c>
      <c r="D156" s="4" t="s">
        <v>14</v>
      </c>
      <c r="E156" s="4" t="s">
        <v>14</v>
      </c>
      <c r="F156" s="4" t="s">
        <v>12</v>
      </c>
      <c r="G156" s="4" t="n">
        <v>35</v>
      </c>
      <c r="H156" s="5" t="n">
        <v>205.56</v>
      </c>
      <c r="I156" s="5" t="n">
        <v>17.93</v>
      </c>
      <c r="J156" s="5" t="n">
        <v>16.277</v>
      </c>
    </row>
    <row r="157" customFormat="false" ht="15" hidden="false" customHeight="false" outlineLevel="0" collapsed="false">
      <c r="A157" s="6" t="n">
        <v>7</v>
      </c>
      <c r="B157" s="6" t="s">
        <v>19</v>
      </c>
      <c r="C157" s="7" t="s">
        <v>12</v>
      </c>
      <c r="D157" s="7" t="s">
        <v>14</v>
      </c>
      <c r="E157" s="7" t="s">
        <v>14</v>
      </c>
      <c r="F157" s="7" t="s">
        <v>12</v>
      </c>
      <c r="G157" s="7" t="n">
        <v>36</v>
      </c>
      <c r="H157" s="8" t="n">
        <v>187.67</v>
      </c>
      <c r="I157" s="8" t="n">
        <v>20.35</v>
      </c>
      <c r="J157" s="8" t="n">
        <v>16.4</v>
      </c>
    </row>
    <row r="158" customFormat="false" ht="15" hidden="false" customHeight="false" outlineLevel="0" collapsed="false">
      <c r="A158" s="3" t="n">
        <v>7</v>
      </c>
      <c r="B158" s="3" t="s">
        <v>19</v>
      </c>
      <c r="C158" s="4" t="s">
        <v>12</v>
      </c>
      <c r="D158" s="4" t="s">
        <v>14</v>
      </c>
      <c r="E158" s="4" t="s">
        <v>14</v>
      </c>
      <c r="F158" s="4" t="s">
        <v>12</v>
      </c>
      <c r="G158" s="4" t="n">
        <v>37</v>
      </c>
      <c r="H158" s="5" t="n">
        <v>187.07</v>
      </c>
      <c r="I158" s="5" t="n">
        <v>17.36</v>
      </c>
      <c r="J158" s="5" t="n">
        <v>16.31</v>
      </c>
    </row>
    <row r="159" customFormat="false" ht="15" hidden="false" customHeight="false" outlineLevel="0" collapsed="false">
      <c r="A159" s="6" t="n">
        <v>7</v>
      </c>
      <c r="B159" s="6" t="s">
        <v>19</v>
      </c>
      <c r="C159" s="7" t="s">
        <v>12</v>
      </c>
      <c r="D159" s="7" t="s">
        <v>14</v>
      </c>
      <c r="E159" s="7" t="s">
        <v>14</v>
      </c>
      <c r="F159" s="7" t="s">
        <v>12</v>
      </c>
      <c r="G159" s="7" t="n">
        <v>38</v>
      </c>
      <c r="H159" s="8" t="n">
        <v>186.43</v>
      </c>
      <c r="I159" s="8" t="n">
        <v>16.95</v>
      </c>
      <c r="J159" s="8" t="n">
        <v>16.34</v>
      </c>
    </row>
    <row r="160" customFormat="false" ht="15" hidden="false" customHeight="false" outlineLevel="0" collapsed="false">
      <c r="A160" s="3" t="n">
        <v>7</v>
      </c>
      <c r="B160" s="3" t="s">
        <v>19</v>
      </c>
      <c r="C160" s="4" t="s">
        <v>12</v>
      </c>
      <c r="D160" s="4" t="s">
        <v>14</v>
      </c>
      <c r="E160" s="4" t="s">
        <v>14</v>
      </c>
      <c r="F160" s="4" t="s">
        <v>12</v>
      </c>
      <c r="G160" s="4" t="n">
        <v>39</v>
      </c>
      <c r="H160" s="5" t="n">
        <v>185.48</v>
      </c>
      <c r="I160" s="5" t="n">
        <v>18.17</v>
      </c>
      <c r="J160" s="5" t="n">
        <v>16.406</v>
      </c>
    </row>
    <row r="161" customFormat="false" ht="15" hidden="false" customHeight="false" outlineLevel="0" collapsed="false">
      <c r="A161" s="6" t="n">
        <v>7</v>
      </c>
      <c r="B161" s="6" t="s">
        <v>19</v>
      </c>
      <c r="C161" s="7" t="s">
        <v>12</v>
      </c>
      <c r="D161" s="7" t="s">
        <v>14</v>
      </c>
      <c r="E161" s="7" t="s">
        <v>14</v>
      </c>
      <c r="F161" s="7" t="s">
        <v>12</v>
      </c>
      <c r="G161" s="7" t="n">
        <v>40</v>
      </c>
      <c r="H161" s="8" t="n">
        <v>189.84</v>
      </c>
      <c r="I161" s="8" t="n">
        <v>23.74</v>
      </c>
      <c r="J161" s="8" t="n">
        <v>16.453</v>
      </c>
    </row>
    <row r="162" customFormat="false" ht="15" hidden="false" customHeight="false" outlineLevel="0" collapsed="false">
      <c r="A162" s="3" t="n">
        <v>7</v>
      </c>
      <c r="B162" s="3" t="s">
        <v>19</v>
      </c>
      <c r="C162" s="4" t="s">
        <v>12</v>
      </c>
      <c r="D162" s="4" t="s">
        <v>14</v>
      </c>
      <c r="E162" s="4" t="s">
        <v>14</v>
      </c>
      <c r="F162" s="4" t="s">
        <v>12</v>
      </c>
      <c r="G162" s="4" t="n">
        <v>41</v>
      </c>
      <c r="H162" s="5" t="n">
        <v>195.91</v>
      </c>
      <c r="I162" s="5" t="n">
        <v>18.65</v>
      </c>
      <c r="J162" s="5" t="n">
        <v>16.351</v>
      </c>
    </row>
    <row r="163" customFormat="false" ht="15" hidden="false" customHeight="false" outlineLevel="0" collapsed="false">
      <c r="A163" s="6" t="n">
        <v>7</v>
      </c>
      <c r="B163" s="6" t="s">
        <v>19</v>
      </c>
      <c r="C163" s="7" t="s">
        <v>12</v>
      </c>
      <c r="D163" s="7" t="s">
        <v>14</v>
      </c>
      <c r="E163" s="7" t="s">
        <v>14</v>
      </c>
      <c r="F163" s="7" t="s">
        <v>12</v>
      </c>
      <c r="G163" s="7" t="n">
        <v>42</v>
      </c>
      <c r="H163" s="8" t="n">
        <v>194.28</v>
      </c>
      <c r="I163" s="8" t="n">
        <v>21.39</v>
      </c>
      <c r="J163" s="8" t="n">
        <v>16.569</v>
      </c>
    </row>
    <row r="164" customFormat="false" ht="15" hidden="false" customHeight="false" outlineLevel="0" collapsed="false">
      <c r="A164" s="3" t="n">
        <v>7</v>
      </c>
      <c r="B164" s="3" t="s">
        <v>19</v>
      </c>
      <c r="C164" s="4" t="s">
        <v>12</v>
      </c>
      <c r="D164" s="4" t="s">
        <v>14</v>
      </c>
      <c r="E164" s="4" t="s">
        <v>14</v>
      </c>
      <c r="F164" s="4" t="s">
        <v>12</v>
      </c>
      <c r="G164" s="4" t="n">
        <v>43</v>
      </c>
      <c r="H164" s="5" t="n">
        <v>178.8</v>
      </c>
      <c r="I164" s="5" t="n">
        <v>14.68</v>
      </c>
      <c r="J164" s="5" t="n">
        <v>16.254</v>
      </c>
    </row>
    <row r="165" customFormat="false" ht="15" hidden="false" customHeight="false" outlineLevel="0" collapsed="false">
      <c r="A165" s="6" t="n">
        <v>7</v>
      </c>
      <c r="B165" s="6" t="s">
        <v>19</v>
      </c>
      <c r="C165" s="7" t="s">
        <v>12</v>
      </c>
      <c r="D165" s="7" t="s">
        <v>14</v>
      </c>
      <c r="E165" s="7" t="s">
        <v>14</v>
      </c>
      <c r="F165" s="7" t="s">
        <v>12</v>
      </c>
      <c r="G165" s="7" t="n">
        <v>44</v>
      </c>
      <c r="H165" s="8" t="n">
        <v>194.79</v>
      </c>
      <c r="I165" s="8" t="n">
        <v>17.26</v>
      </c>
      <c r="J165" s="8" t="n">
        <v>16.292</v>
      </c>
    </row>
    <row r="166" customFormat="false" ht="15" hidden="false" customHeight="false" outlineLevel="0" collapsed="false">
      <c r="A166" s="3" t="n">
        <v>7</v>
      </c>
      <c r="B166" s="3" t="s">
        <v>19</v>
      </c>
      <c r="C166" s="4" t="s">
        <v>12</v>
      </c>
      <c r="D166" s="4" t="s">
        <v>14</v>
      </c>
      <c r="E166" s="4" t="s">
        <v>14</v>
      </c>
      <c r="F166" s="4" t="s">
        <v>12</v>
      </c>
      <c r="G166" s="4" t="n">
        <v>45</v>
      </c>
      <c r="H166" s="5" t="n">
        <v>181.96</v>
      </c>
      <c r="I166" s="5" t="n">
        <v>16.98</v>
      </c>
      <c r="J166" s="5" t="n">
        <v>16.161</v>
      </c>
    </row>
    <row r="167" customFormat="false" ht="15" hidden="false" customHeight="false" outlineLevel="0" collapsed="false">
      <c r="A167" s="6" t="n">
        <v>7</v>
      </c>
      <c r="B167" s="6" t="s">
        <v>19</v>
      </c>
      <c r="C167" s="7" t="s">
        <v>12</v>
      </c>
      <c r="D167" s="7" t="s">
        <v>14</v>
      </c>
      <c r="E167" s="7" t="s">
        <v>14</v>
      </c>
      <c r="F167" s="7" t="s">
        <v>12</v>
      </c>
      <c r="G167" s="7" t="n">
        <v>46</v>
      </c>
      <c r="H167" s="8" t="n">
        <v>189.08</v>
      </c>
      <c r="I167" s="8" t="n">
        <v>15.49</v>
      </c>
      <c r="J167" s="8" t="n">
        <v>16.494</v>
      </c>
    </row>
    <row r="168" customFormat="false" ht="15" hidden="false" customHeight="false" outlineLevel="0" collapsed="false">
      <c r="A168" s="3" t="n">
        <v>7</v>
      </c>
      <c r="B168" s="3" t="s">
        <v>19</v>
      </c>
      <c r="C168" s="4" t="s">
        <v>12</v>
      </c>
      <c r="D168" s="4" t="s">
        <v>14</v>
      </c>
      <c r="E168" s="4" t="s">
        <v>14</v>
      </c>
      <c r="F168" s="4" t="s">
        <v>12</v>
      </c>
      <c r="G168" s="4" t="n">
        <v>47</v>
      </c>
      <c r="H168" s="5" t="n">
        <v>193.95</v>
      </c>
      <c r="I168" s="5" t="n">
        <v>16.58</v>
      </c>
      <c r="J168" s="5" t="n">
        <v>16.369</v>
      </c>
    </row>
    <row r="169" customFormat="false" ht="15" hidden="false" customHeight="false" outlineLevel="0" collapsed="false">
      <c r="A169" s="6" t="n">
        <v>7</v>
      </c>
      <c r="B169" s="6" t="s">
        <v>19</v>
      </c>
      <c r="C169" s="7" t="s">
        <v>12</v>
      </c>
      <c r="D169" s="7" t="s">
        <v>14</v>
      </c>
      <c r="E169" s="7" t="s">
        <v>14</v>
      </c>
      <c r="F169" s="7" t="s">
        <v>12</v>
      </c>
      <c r="G169" s="7" t="n">
        <v>48</v>
      </c>
      <c r="H169" s="8" t="n">
        <v>191.8</v>
      </c>
      <c r="I169" s="8" t="n">
        <v>20.47</v>
      </c>
      <c r="J169" s="8" t="n">
        <v>16.316</v>
      </c>
    </row>
    <row r="170" customFormat="false" ht="15" hidden="false" customHeight="false" outlineLevel="0" collapsed="false">
      <c r="A170" s="3" t="n">
        <v>7</v>
      </c>
      <c r="B170" s="3" t="s">
        <v>19</v>
      </c>
      <c r="C170" s="4" t="s">
        <v>12</v>
      </c>
      <c r="D170" s="4" t="s">
        <v>14</v>
      </c>
      <c r="E170" s="4" t="s">
        <v>14</v>
      </c>
      <c r="F170" s="4" t="s">
        <v>12</v>
      </c>
      <c r="G170" s="4" t="n">
        <v>49</v>
      </c>
      <c r="H170" s="5" t="n">
        <v>185</v>
      </c>
      <c r="I170" s="5" t="n">
        <v>16.44</v>
      </c>
      <c r="J170" s="5" t="n">
        <v>16.265</v>
      </c>
    </row>
    <row r="171" customFormat="false" ht="15" hidden="false" customHeight="false" outlineLevel="0" collapsed="false">
      <c r="A171" s="6" t="n">
        <v>7</v>
      </c>
      <c r="B171" s="6" t="s">
        <v>19</v>
      </c>
      <c r="C171" s="7" t="s">
        <v>12</v>
      </c>
      <c r="D171" s="7" t="s">
        <v>14</v>
      </c>
      <c r="E171" s="7" t="s">
        <v>14</v>
      </c>
      <c r="F171" s="7" t="s">
        <v>12</v>
      </c>
      <c r="G171" s="7" t="n">
        <v>50</v>
      </c>
      <c r="H171" s="8" t="n">
        <v>176.9</v>
      </c>
      <c r="I171" s="8" t="n">
        <v>13.12</v>
      </c>
      <c r="J171" s="8" t="n">
        <v>16.161</v>
      </c>
    </row>
    <row r="172" customFormat="false" ht="15" hidden="false" customHeight="false" outlineLevel="0" collapsed="false">
      <c r="A172" s="3" t="n">
        <v>7</v>
      </c>
      <c r="B172" s="3" t="s">
        <v>19</v>
      </c>
      <c r="C172" s="4" t="s">
        <v>12</v>
      </c>
      <c r="D172" s="4" t="s">
        <v>14</v>
      </c>
      <c r="E172" s="4" t="s">
        <v>14</v>
      </c>
      <c r="F172" s="4" t="s">
        <v>12</v>
      </c>
      <c r="G172" s="4" t="n">
        <v>51</v>
      </c>
      <c r="H172" s="5" t="n">
        <v>177.28</v>
      </c>
      <c r="I172" s="5" t="n">
        <v>14.99</v>
      </c>
      <c r="J172" s="5" t="n">
        <v>16.233</v>
      </c>
    </row>
    <row r="173" customFormat="false" ht="15" hidden="false" customHeight="false" outlineLevel="0" collapsed="false">
      <c r="A173" s="9" t="n">
        <v>8</v>
      </c>
      <c r="B173" s="9" t="s">
        <v>20</v>
      </c>
      <c r="C173" s="10" t="s">
        <v>14</v>
      </c>
      <c r="D173" s="10" t="s">
        <v>14</v>
      </c>
      <c r="E173" s="10" t="s">
        <v>14</v>
      </c>
      <c r="F173" s="10" t="s">
        <v>12</v>
      </c>
      <c r="G173" s="10" t="n">
        <v>1</v>
      </c>
      <c r="H173" s="11" t="n">
        <v>180</v>
      </c>
      <c r="I173" s="11" t="n">
        <v>13.33</v>
      </c>
      <c r="J173" s="11" t="n">
        <v>26.98</v>
      </c>
    </row>
    <row r="174" customFormat="false" ht="15" hidden="false" customHeight="false" outlineLevel="0" collapsed="false">
      <c r="A174" s="6" t="n">
        <v>8</v>
      </c>
      <c r="B174" s="6" t="s">
        <v>20</v>
      </c>
      <c r="C174" s="7" t="s">
        <v>14</v>
      </c>
      <c r="D174" s="7" t="s">
        <v>14</v>
      </c>
      <c r="E174" s="7" t="s">
        <v>14</v>
      </c>
      <c r="F174" s="7" t="s">
        <v>12</v>
      </c>
      <c r="G174" s="7" t="n">
        <v>2</v>
      </c>
      <c r="H174" s="8" t="n">
        <v>171.85</v>
      </c>
      <c r="I174" s="8" t="n">
        <v>10.94</v>
      </c>
      <c r="J174" s="8" t="n">
        <v>26.565</v>
      </c>
    </row>
    <row r="175" customFormat="false" ht="15" hidden="false" customHeight="false" outlineLevel="0" collapsed="false">
      <c r="A175" s="9" t="n">
        <v>8</v>
      </c>
      <c r="B175" s="9" t="s">
        <v>20</v>
      </c>
      <c r="C175" s="10" t="s">
        <v>14</v>
      </c>
      <c r="D175" s="10" t="s">
        <v>14</v>
      </c>
      <c r="E175" s="10" t="s">
        <v>14</v>
      </c>
      <c r="F175" s="10" t="s">
        <v>12</v>
      </c>
      <c r="G175" s="10" t="n">
        <v>3</v>
      </c>
      <c r="H175" s="11" t="n">
        <v>168.88</v>
      </c>
      <c r="I175" s="11" t="n">
        <v>11.42</v>
      </c>
      <c r="J175" s="11" t="n">
        <v>26.448</v>
      </c>
    </row>
    <row r="176" customFormat="false" ht="15" hidden="false" customHeight="false" outlineLevel="0" collapsed="false">
      <c r="A176" s="6" t="n">
        <v>8</v>
      </c>
      <c r="B176" s="6" t="s">
        <v>20</v>
      </c>
      <c r="C176" s="7" t="s">
        <v>14</v>
      </c>
      <c r="D176" s="7" t="s">
        <v>14</v>
      </c>
      <c r="E176" s="7" t="s">
        <v>14</v>
      </c>
      <c r="F176" s="7" t="s">
        <v>12</v>
      </c>
      <c r="G176" s="7" t="n">
        <v>4</v>
      </c>
      <c r="H176" s="8" t="n">
        <v>168.15</v>
      </c>
      <c r="I176" s="8" t="n">
        <v>10.74</v>
      </c>
      <c r="J176" s="8" t="n">
        <v>26.677</v>
      </c>
    </row>
    <row r="177" customFormat="false" ht="15" hidden="false" customHeight="false" outlineLevel="0" collapsed="false">
      <c r="A177" s="9" t="n">
        <v>8</v>
      </c>
      <c r="B177" s="9" t="s">
        <v>20</v>
      </c>
      <c r="C177" s="10" t="s">
        <v>14</v>
      </c>
      <c r="D177" s="10" t="s">
        <v>14</v>
      </c>
      <c r="E177" s="10" t="s">
        <v>14</v>
      </c>
      <c r="F177" s="10" t="s">
        <v>12</v>
      </c>
      <c r="G177" s="10" t="n">
        <v>5</v>
      </c>
      <c r="H177" s="11" t="n">
        <v>170.33</v>
      </c>
      <c r="I177" s="11" t="n">
        <v>10.42</v>
      </c>
      <c r="J177" s="11" t="n">
        <v>26.721</v>
      </c>
    </row>
    <row r="178" customFormat="false" ht="15" hidden="false" customHeight="false" outlineLevel="0" collapsed="false">
      <c r="A178" s="6" t="n">
        <v>8</v>
      </c>
      <c r="B178" s="6" t="s">
        <v>20</v>
      </c>
      <c r="C178" s="7" t="s">
        <v>14</v>
      </c>
      <c r="D178" s="7" t="s">
        <v>14</v>
      </c>
      <c r="E178" s="7" t="s">
        <v>14</v>
      </c>
      <c r="F178" s="7" t="s">
        <v>12</v>
      </c>
      <c r="G178" s="7" t="n">
        <v>6</v>
      </c>
      <c r="H178" s="8" t="n">
        <v>171.22</v>
      </c>
      <c r="I178" s="8" t="n">
        <v>12</v>
      </c>
      <c r="J178" s="8" t="n">
        <v>26.581</v>
      </c>
    </row>
    <row r="179" customFormat="false" ht="15" hidden="false" customHeight="false" outlineLevel="0" collapsed="false">
      <c r="A179" s="9" t="n">
        <v>8</v>
      </c>
      <c r="B179" s="9" t="s">
        <v>20</v>
      </c>
      <c r="C179" s="10" t="s">
        <v>14</v>
      </c>
      <c r="D179" s="10" t="s">
        <v>14</v>
      </c>
      <c r="E179" s="10" t="s">
        <v>14</v>
      </c>
      <c r="F179" s="10" t="s">
        <v>12</v>
      </c>
      <c r="G179" s="10" t="n">
        <v>7</v>
      </c>
      <c r="H179" s="11" t="n">
        <v>170.74</v>
      </c>
      <c r="I179" s="11" t="n">
        <v>10.72</v>
      </c>
      <c r="J179" s="11" t="n">
        <v>26.542</v>
      </c>
    </row>
    <row r="180" customFormat="false" ht="15" hidden="false" customHeight="false" outlineLevel="0" collapsed="false">
      <c r="A180" s="6" t="n">
        <v>8</v>
      </c>
      <c r="B180" s="6" t="s">
        <v>20</v>
      </c>
      <c r="C180" s="7" t="s">
        <v>14</v>
      </c>
      <c r="D180" s="7" t="s">
        <v>14</v>
      </c>
      <c r="E180" s="7" t="s">
        <v>14</v>
      </c>
      <c r="F180" s="7" t="s">
        <v>12</v>
      </c>
      <c r="G180" s="7" t="n">
        <v>8</v>
      </c>
      <c r="H180" s="8" t="n">
        <v>168.75</v>
      </c>
      <c r="I180" s="8" t="n">
        <v>11.59</v>
      </c>
      <c r="J180" s="8" t="n">
        <v>26.581</v>
      </c>
    </row>
    <row r="181" customFormat="false" ht="15" hidden="false" customHeight="false" outlineLevel="0" collapsed="false">
      <c r="A181" s="9" t="n">
        <v>8</v>
      </c>
      <c r="B181" s="9" t="s">
        <v>20</v>
      </c>
      <c r="C181" s="10" t="s">
        <v>14</v>
      </c>
      <c r="D181" s="10" t="s">
        <v>14</v>
      </c>
      <c r="E181" s="10" t="s">
        <v>14</v>
      </c>
      <c r="F181" s="10" t="s">
        <v>12</v>
      </c>
      <c r="G181" s="10" t="n">
        <v>9</v>
      </c>
      <c r="H181" s="11" t="n">
        <v>167.99</v>
      </c>
      <c r="I181" s="11" t="n">
        <v>11.71</v>
      </c>
      <c r="J181" s="11" t="n">
        <v>26.45</v>
      </c>
    </row>
    <row r="182" customFormat="false" ht="15" hidden="false" customHeight="false" outlineLevel="0" collapsed="false">
      <c r="A182" s="6" t="n">
        <v>8</v>
      </c>
      <c r="B182" s="6" t="s">
        <v>20</v>
      </c>
      <c r="C182" s="7" t="s">
        <v>14</v>
      </c>
      <c r="D182" s="7" t="s">
        <v>14</v>
      </c>
      <c r="E182" s="7" t="s">
        <v>14</v>
      </c>
      <c r="F182" s="7" t="s">
        <v>12</v>
      </c>
      <c r="G182" s="7" t="n">
        <v>10</v>
      </c>
      <c r="H182" s="8" t="n">
        <v>169.2</v>
      </c>
      <c r="I182" s="8" t="n">
        <v>11.77</v>
      </c>
      <c r="J182" s="8" t="n">
        <v>26.492</v>
      </c>
    </row>
    <row r="183" customFormat="false" ht="15" hidden="false" customHeight="false" outlineLevel="0" collapsed="false">
      <c r="A183" s="9" t="n">
        <v>8</v>
      </c>
      <c r="B183" s="9" t="s">
        <v>20</v>
      </c>
      <c r="C183" s="10" t="s">
        <v>14</v>
      </c>
      <c r="D183" s="10" t="s">
        <v>14</v>
      </c>
      <c r="E183" s="10" t="s">
        <v>14</v>
      </c>
      <c r="F183" s="10" t="s">
        <v>12</v>
      </c>
      <c r="G183" s="10" t="n">
        <v>11</v>
      </c>
      <c r="H183" s="11" t="n">
        <v>171.15</v>
      </c>
      <c r="I183" s="11" t="n">
        <v>11.48</v>
      </c>
      <c r="J183" s="11" t="n">
        <v>26.431</v>
      </c>
    </row>
    <row r="184" customFormat="false" ht="15" hidden="false" customHeight="false" outlineLevel="0" collapsed="false">
      <c r="A184" s="6" t="n">
        <v>8</v>
      </c>
      <c r="B184" s="6" t="s">
        <v>20</v>
      </c>
      <c r="C184" s="7" t="s">
        <v>14</v>
      </c>
      <c r="D184" s="7" t="s">
        <v>14</v>
      </c>
      <c r="E184" s="7" t="s">
        <v>14</v>
      </c>
      <c r="F184" s="7" t="s">
        <v>12</v>
      </c>
      <c r="G184" s="7" t="n">
        <v>12</v>
      </c>
      <c r="H184" s="8" t="n">
        <v>173.38</v>
      </c>
      <c r="I184" s="8" t="n">
        <v>13.42</v>
      </c>
      <c r="J184" s="8" t="n">
        <v>26.47</v>
      </c>
    </row>
    <row r="185" customFormat="false" ht="15" hidden="false" customHeight="false" outlineLevel="0" collapsed="false">
      <c r="A185" s="9" t="n">
        <v>8</v>
      </c>
      <c r="B185" s="9" t="s">
        <v>20</v>
      </c>
      <c r="C185" s="10" t="s">
        <v>14</v>
      </c>
      <c r="D185" s="10" t="s">
        <v>14</v>
      </c>
      <c r="E185" s="10" t="s">
        <v>14</v>
      </c>
      <c r="F185" s="10" t="s">
        <v>12</v>
      </c>
      <c r="G185" s="10" t="n">
        <v>13</v>
      </c>
      <c r="H185" s="11" t="n">
        <v>175.24</v>
      </c>
      <c r="I185" s="11" t="n">
        <v>10.76</v>
      </c>
      <c r="J185" s="11" t="n">
        <v>26.558</v>
      </c>
    </row>
    <row r="186" customFormat="false" ht="15" hidden="false" customHeight="false" outlineLevel="0" collapsed="false">
      <c r="A186" s="6" t="n">
        <v>8</v>
      </c>
      <c r="B186" s="6" t="s">
        <v>20</v>
      </c>
      <c r="C186" s="7" t="s">
        <v>14</v>
      </c>
      <c r="D186" s="7" t="s">
        <v>14</v>
      </c>
      <c r="E186" s="7" t="s">
        <v>14</v>
      </c>
      <c r="F186" s="7" t="s">
        <v>12</v>
      </c>
      <c r="G186" s="7" t="n">
        <v>14</v>
      </c>
      <c r="H186" s="8" t="n">
        <v>166.02</v>
      </c>
      <c r="I186" s="8" t="n">
        <v>10.45</v>
      </c>
      <c r="J186" s="8" t="n">
        <v>26.42</v>
      </c>
    </row>
    <row r="187" customFormat="false" ht="15" hidden="false" customHeight="false" outlineLevel="0" collapsed="false">
      <c r="A187" s="9" t="n">
        <v>8</v>
      </c>
      <c r="B187" s="9" t="s">
        <v>20</v>
      </c>
      <c r="C187" s="10" t="s">
        <v>14</v>
      </c>
      <c r="D187" s="10" t="s">
        <v>14</v>
      </c>
      <c r="E187" s="10" t="s">
        <v>14</v>
      </c>
      <c r="F187" s="10" t="s">
        <v>12</v>
      </c>
      <c r="G187" s="10" t="n">
        <v>15</v>
      </c>
      <c r="H187" s="11" t="n">
        <v>174.54</v>
      </c>
      <c r="I187" s="11" t="n">
        <v>10.85</v>
      </c>
      <c r="J187" s="11" t="n">
        <v>26.787</v>
      </c>
    </row>
    <row r="188" customFormat="false" ht="15" hidden="false" customHeight="false" outlineLevel="0" collapsed="false">
      <c r="A188" s="3" t="n">
        <v>9</v>
      </c>
      <c r="B188" s="3" t="s">
        <v>21</v>
      </c>
      <c r="C188" s="4" t="s">
        <v>12</v>
      </c>
      <c r="D188" s="4" t="s">
        <v>12</v>
      </c>
      <c r="E188" s="4" t="s">
        <v>12</v>
      </c>
      <c r="F188" s="4" t="s">
        <v>14</v>
      </c>
      <c r="G188" s="4" t="n">
        <v>1</v>
      </c>
      <c r="H188" s="5" t="n">
        <v>396.48</v>
      </c>
      <c r="I188" s="5" t="n">
        <v>87.2</v>
      </c>
      <c r="J188" s="5" t="n">
        <v>12.539</v>
      </c>
    </row>
    <row r="189" customFormat="false" ht="15" hidden="false" customHeight="false" outlineLevel="0" collapsed="false">
      <c r="A189" s="6" t="n">
        <v>9</v>
      </c>
      <c r="B189" s="6" t="s">
        <v>21</v>
      </c>
      <c r="C189" s="7" t="s">
        <v>12</v>
      </c>
      <c r="D189" s="7" t="s">
        <v>12</v>
      </c>
      <c r="E189" s="7" t="s">
        <v>12</v>
      </c>
      <c r="F189" s="7" t="s">
        <v>14</v>
      </c>
      <c r="G189" s="7" t="n">
        <v>2</v>
      </c>
      <c r="H189" s="8" t="n">
        <v>392.23</v>
      </c>
      <c r="I189" s="8" t="n">
        <v>93.92</v>
      </c>
      <c r="J189" s="8" t="n">
        <v>12.634</v>
      </c>
    </row>
    <row r="190" customFormat="false" ht="15" hidden="false" customHeight="false" outlineLevel="0" collapsed="false">
      <c r="A190" s="3" t="n">
        <v>9</v>
      </c>
      <c r="B190" s="3" t="s">
        <v>21</v>
      </c>
      <c r="C190" s="4" t="s">
        <v>12</v>
      </c>
      <c r="D190" s="4" t="s">
        <v>12</v>
      </c>
      <c r="E190" s="4" t="s">
        <v>12</v>
      </c>
      <c r="F190" s="4" t="s">
        <v>14</v>
      </c>
      <c r="G190" s="4" t="n">
        <v>3</v>
      </c>
      <c r="H190" s="5" t="n">
        <v>370.67</v>
      </c>
      <c r="I190" s="5" t="n">
        <v>100.49</v>
      </c>
      <c r="J190" s="5" t="n">
        <v>12.634</v>
      </c>
    </row>
    <row r="191" customFormat="false" ht="15" hidden="false" customHeight="false" outlineLevel="0" collapsed="false">
      <c r="A191" s="6" t="n">
        <v>9</v>
      </c>
      <c r="B191" s="6" t="s">
        <v>21</v>
      </c>
      <c r="C191" s="7" t="s">
        <v>12</v>
      </c>
      <c r="D191" s="7" t="s">
        <v>12</v>
      </c>
      <c r="E191" s="7" t="s">
        <v>12</v>
      </c>
      <c r="F191" s="7" t="s">
        <v>14</v>
      </c>
      <c r="G191" s="7" t="n">
        <v>4</v>
      </c>
      <c r="H191" s="8" t="n">
        <v>390.99</v>
      </c>
      <c r="I191" s="8" t="n">
        <v>103.85</v>
      </c>
      <c r="J191" s="8" t="n">
        <v>12.586</v>
      </c>
    </row>
    <row r="192" customFormat="false" ht="15" hidden="false" customHeight="false" outlineLevel="0" collapsed="false">
      <c r="A192" s="3" t="n">
        <v>9</v>
      </c>
      <c r="B192" s="3" t="s">
        <v>21</v>
      </c>
      <c r="C192" s="4" t="s">
        <v>12</v>
      </c>
      <c r="D192" s="4" t="s">
        <v>12</v>
      </c>
      <c r="E192" s="4" t="s">
        <v>12</v>
      </c>
      <c r="F192" s="4" t="s">
        <v>14</v>
      </c>
      <c r="G192" s="4" t="n">
        <v>5</v>
      </c>
      <c r="H192" s="5" t="n">
        <v>448.27</v>
      </c>
      <c r="I192" s="5" t="n">
        <v>97.25</v>
      </c>
      <c r="J192" s="5" t="n">
        <v>12.559</v>
      </c>
    </row>
    <row r="193" customFormat="false" ht="15" hidden="false" customHeight="false" outlineLevel="0" collapsed="false">
      <c r="A193" s="6" t="n">
        <v>9</v>
      </c>
      <c r="B193" s="6" t="s">
        <v>21</v>
      </c>
      <c r="C193" s="7" t="s">
        <v>12</v>
      </c>
      <c r="D193" s="7" t="s">
        <v>12</v>
      </c>
      <c r="E193" s="7" t="s">
        <v>12</v>
      </c>
      <c r="F193" s="7" t="s">
        <v>14</v>
      </c>
      <c r="G193" s="7" t="n">
        <v>6</v>
      </c>
      <c r="H193" s="8" t="n">
        <v>371.97</v>
      </c>
      <c r="I193" s="8" t="n">
        <v>86.87</v>
      </c>
      <c r="J193" s="8" t="n">
        <v>12.531</v>
      </c>
    </row>
    <row r="194" customFormat="false" ht="15" hidden="false" customHeight="false" outlineLevel="0" collapsed="false">
      <c r="A194" s="3" t="n">
        <v>9</v>
      </c>
      <c r="B194" s="3" t="s">
        <v>21</v>
      </c>
      <c r="C194" s="4" t="s">
        <v>12</v>
      </c>
      <c r="D194" s="4" t="s">
        <v>12</v>
      </c>
      <c r="E194" s="4" t="s">
        <v>12</v>
      </c>
      <c r="F194" s="4" t="s">
        <v>14</v>
      </c>
      <c r="G194" s="4" t="n">
        <v>7</v>
      </c>
      <c r="H194" s="5" t="n">
        <v>421.56</v>
      </c>
      <c r="I194" s="5" t="n">
        <v>108.88</v>
      </c>
      <c r="J194" s="5" t="n">
        <v>12.534</v>
      </c>
    </row>
    <row r="195" customFormat="false" ht="15" hidden="false" customHeight="false" outlineLevel="0" collapsed="false">
      <c r="A195" s="6" t="n">
        <v>9</v>
      </c>
      <c r="B195" s="6" t="s">
        <v>21</v>
      </c>
      <c r="C195" s="7" t="s">
        <v>12</v>
      </c>
      <c r="D195" s="7" t="s">
        <v>12</v>
      </c>
      <c r="E195" s="7" t="s">
        <v>12</v>
      </c>
      <c r="F195" s="7" t="s">
        <v>14</v>
      </c>
      <c r="G195" s="7" t="n">
        <v>8</v>
      </c>
      <c r="H195" s="8" t="n">
        <v>449.7</v>
      </c>
      <c r="I195" s="8" t="n">
        <v>118.48</v>
      </c>
      <c r="J195" s="8" t="n">
        <v>12.617</v>
      </c>
    </row>
    <row r="196" customFormat="false" ht="15" hidden="false" customHeight="false" outlineLevel="0" collapsed="false">
      <c r="A196" s="3" t="n">
        <v>9</v>
      </c>
      <c r="B196" s="3" t="s">
        <v>21</v>
      </c>
      <c r="C196" s="4" t="s">
        <v>12</v>
      </c>
      <c r="D196" s="4" t="s">
        <v>12</v>
      </c>
      <c r="E196" s="4" t="s">
        <v>12</v>
      </c>
      <c r="F196" s="4" t="s">
        <v>14</v>
      </c>
      <c r="G196" s="4" t="n">
        <v>9</v>
      </c>
      <c r="H196" s="5" t="n">
        <v>406.08</v>
      </c>
      <c r="I196" s="5" t="n">
        <v>102.15</v>
      </c>
      <c r="J196" s="5" t="n">
        <v>12.564</v>
      </c>
    </row>
    <row r="197" customFormat="false" ht="15" hidden="false" customHeight="false" outlineLevel="0" collapsed="false">
      <c r="A197" s="6" t="n">
        <v>9</v>
      </c>
      <c r="B197" s="6" t="s">
        <v>21</v>
      </c>
      <c r="C197" s="7" t="s">
        <v>12</v>
      </c>
      <c r="D197" s="7" t="s">
        <v>12</v>
      </c>
      <c r="E197" s="7" t="s">
        <v>12</v>
      </c>
      <c r="F197" s="7" t="s">
        <v>14</v>
      </c>
      <c r="G197" s="7" t="n">
        <v>10</v>
      </c>
      <c r="H197" s="8" t="n">
        <v>337.43</v>
      </c>
      <c r="I197" s="8" t="n">
        <v>109.46</v>
      </c>
      <c r="J197" s="8" t="n">
        <v>12.563</v>
      </c>
    </row>
    <row r="198" customFormat="false" ht="15" hidden="false" customHeight="false" outlineLevel="0" collapsed="false">
      <c r="A198" s="3" t="n">
        <v>9</v>
      </c>
      <c r="B198" s="3" t="s">
        <v>21</v>
      </c>
      <c r="C198" s="4" t="s">
        <v>12</v>
      </c>
      <c r="D198" s="4" t="s">
        <v>12</v>
      </c>
      <c r="E198" s="4" t="s">
        <v>12</v>
      </c>
      <c r="F198" s="4" t="s">
        <v>14</v>
      </c>
      <c r="G198" s="4" t="n">
        <v>11</v>
      </c>
      <c r="H198" s="5" t="n">
        <v>312.27</v>
      </c>
      <c r="I198" s="5" t="n">
        <v>71.73</v>
      </c>
      <c r="J198" s="5" t="n">
        <v>12.524</v>
      </c>
    </row>
    <row r="199" customFormat="false" ht="15" hidden="false" customHeight="false" outlineLevel="0" collapsed="false">
      <c r="A199" s="6" t="n">
        <v>9</v>
      </c>
      <c r="B199" s="6" t="s">
        <v>21</v>
      </c>
      <c r="C199" s="7" t="s">
        <v>12</v>
      </c>
      <c r="D199" s="7" t="s">
        <v>12</v>
      </c>
      <c r="E199" s="7" t="s">
        <v>12</v>
      </c>
      <c r="F199" s="7" t="s">
        <v>14</v>
      </c>
      <c r="G199" s="7" t="n">
        <v>12</v>
      </c>
      <c r="H199" s="8" t="n">
        <v>355.84</v>
      </c>
      <c r="I199" s="8" t="n">
        <v>106.53</v>
      </c>
      <c r="J199" s="8" t="n">
        <v>12.648</v>
      </c>
    </row>
    <row r="200" customFormat="false" ht="15" hidden="false" customHeight="false" outlineLevel="0" collapsed="false">
      <c r="A200" s="3" t="n">
        <v>9</v>
      </c>
      <c r="B200" s="3" t="s">
        <v>21</v>
      </c>
      <c r="C200" s="4" t="s">
        <v>12</v>
      </c>
      <c r="D200" s="4" t="s">
        <v>12</v>
      </c>
      <c r="E200" s="4" t="s">
        <v>12</v>
      </c>
      <c r="F200" s="4" t="s">
        <v>14</v>
      </c>
      <c r="G200" s="4" t="n">
        <v>13</v>
      </c>
      <c r="H200" s="5" t="n">
        <v>352.17</v>
      </c>
      <c r="I200" s="5" t="n">
        <v>94.01</v>
      </c>
      <c r="J200" s="5" t="n">
        <v>12.597</v>
      </c>
    </row>
    <row r="201" customFormat="false" ht="15" hidden="false" customHeight="false" outlineLevel="0" collapsed="false">
      <c r="A201" s="6" t="n">
        <v>9</v>
      </c>
      <c r="B201" s="6" t="s">
        <v>21</v>
      </c>
      <c r="C201" s="7" t="s">
        <v>12</v>
      </c>
      <c r="D201" s="7" t="s">
        <v>12</v>
      </c>
      <c r="E201" s="7" t="s">
        <v>12</v>
      </c>
      <c r="F201" s="7" t="s">
        <v>14</v>
      </c>
      <c r="G201" s="7" t="n">
        <v>14</v>
      </c>
      <c r="H201" s="8" t="n">
        <v>343.44</v>
      </c>
      <c r="I201" s="8" t="n">
        <v>97.88</v>
      </c>
      <c r="J201" s="8" t="n">
        <v>12.474</v>
      </c>
    </row>
    <row r="202" customFormat="false" ht="15" hidden="false" customHeight="false" outlineLevel="0" collapsed="false">
      <c r="A202" s="3" t="n">
        <v>9</v>
      </c>
      <c r="B202" s="3" t="s">
        <v>21</v>
      </c>
      <c r="C202" s="4" t="s">
        <v>12</v>
      </c>
      <c r="D202" s="4" t="s">
        <v>12</v>
      </c>
      <c r="E202" s="4" t="s">
        <v>12</v>
      </c>
      <c r="F202" s="4" t="s">
        <v>14</v>
      </c>
      <c r="G202" s="4" t="n">
        <v>15</v>
      </c>
      <c r="H202" s="5" t="n">
        <v>323.48</v>
      </c>
      <c r="I202" s="5" t="n">
        <v>70.83</v>
      </c>
      <c r="J202" s="5" t="n">
        <v>12.575</v>
      </c>
    </row>
    <row r="203" customFormat="false" ht="15" hidden="false" customHeight="false" outlineLevel="0" collapsed="false">
      <c r="A203" s="6" t="n">
        <v>9</v>
      </c>
      <c r="B203" s="6" t="s">
        <v>21</v>
      </c>
      <c r="C203" s="7" t="s">
        <v>12</v>
      </c>
      <c r="D203" s="7" t="s">
        <v>12</v>
      </c>
      <c r="E203" s="7" t="s">
        <v>12</v>
      </c>
      <c r="F203" s="7" t="s">
        <v>14</v>
      </c>
      <c r="G203" s="7" t="n">
        <v>16</v>
      </c>
      <c r="H203" s="8" t="n">
        <v>350.21</v>
      </c>
      <c r="I203" s="8" t="n">
        <v>89.29</v>
      </c>
      <c r="J203" s="8" t="n">
        <v>12.537</v>
      </c>
    </row>
    <row r="204" customFormat="false" ht="15" hidden="false" customHeight="false" outlineLevel="0" collapsed="false">
      <c r="A204" s="3" t="n">
        <v>9</v>
      </c>
      <c r="B204" s="3" t="s">
        <v>21</v>
      </c>
      <c r="C204" s="4" t="s">
        <v>12</v>
      </c>
      <c r="D204" s="4" t="s">
        <v>12</v>
      </c>
      <c r="E204" s="4" t="s">
        <v>12</v>
      </c>
      <c r="F204" s="4" t="s">
        <v>14</v>
      </c>
      <c r="G204" s="4" t="n">
        <v>17</v>
      </c>
      <c r="H204" s="5" t="n">
        <v>397.34</v>
      </c>
      <c r="I204" s="5" t="n">
        <v>110.45</v>
      </c>
      <c r="J204" s="5" t="n">
        <v>12.6</v>
      </c>
    </row>
    <row r="205" customFormat="false" ht="15" hidden="false" customHeight="false" outlineLevel="0" collapsed="false">
      <c r="A205" s="6" t="n">
        <v>9</v>
      </c>
      <c r="B205" s="6" t="s">
        <v>21</v>
      </c>
      <c r="C205" s="7" t="s">
        <v>12</v>
      </c>
      <c r="D205" s="7" t="s">
        <v>12</v>
      </c>
      <c r="E205" s="7" t="s">
        <v>12</v>
      </c>
      <c r="F205" s="7" t="s">
        <v>14</v>
      </c>
      <c r="G205" s="7" t="n">
        <v>18</v>
      </c>
      <c r="H205" s="8" t="n">
        <v>273.94</v>
      </c>
      <c r="I205" s="8" t="n">
        <v>66</v>
      </c>
      <c r="J205" s="8" t="n">
        <v>12.583</v>
      </c>
    </row>
    <row r="206" customFormat="false" ht="15" hidden="false" customHeight="false" outlineLevel="0" collapsed="false">
      <c r="A206" s="3" t="n">
        <v>9</v>
      </c>
      <c r="B206" s="3" t="s">
        <v>21</v>
      </c>
      <c r="C206" s="4" t="s">
        <v>12</v>
      </c>
      <c r="D206" s="4" t="s">
        <v>12</v>
      </c>
      <c r="E206" s="4" t="s">
        <v>12</v>
      </c>
      <c r="F206" s="4" t="s">
        <v>14</v>
      </c>
      <c r="G206" s="4" t="n">
        <v>19</v>
      </c>
      <c r="H206" s="5" t="n">
        <v>373.79</v>
      </c>
      <c r="I206" s="5" t="n">
        <v>98.93</v>
      </c>
      <c r="J206" s="5" t="n">
        <v>12.547</v>
      </c>
    </row>
    <row r="207" customFormat="false" ht="15" hidden="false" customHeight="false" outlineLevel="0" collapsed="false">
      <c r="A207" s="6" t="n">
        <v>9</v>
      </c>
      <c r="B207" s="6" t="s">
        <v>21</v>
      </c>
      <c r="C207" s="7" t="s">
        <v>12</v>
      </c>
      <c r="D207" s="7" t="s">
        <v>12</v>
      </c>
      <c r="E207" s="7" t="s">
        <v>12</v>
      </c>
      <c r="F207" s="7" t="s">
        <v>14</v>
      </c>
      <c r="G207" s="7" t="n">
        <v>20</v>
      </c>
      <c r="H207" s="8" t="n">
        <v>428.48</v>
      </c>
      <c r="I207" s="8" t="n">
        <v>119.9</v>
      </c>
      <c r="J207" s="8" t="n">
        <v>12.612</v>
      </c>
    </row>
    <row r="208" customFormat="false" ht="15" hidden="false" customHeight="false" outlineLevel="0" collapsed="false">
      <c r="A208" s="3" t="n">
        <v>9</v>
      </c>
      <c r="B208" s="3" t="s">
        <v>21</v>
      </c>
      <c r="C208" s="4" t="s">
        <v>12</v>
      </c>
      <c r="D208" s="4" t="s">
        <v>12</v>
      </c>
      <c r="E208" s="4" t="s">
        <v>12</v>
      </c>
      <c r="F208" s="4" t="s">
        <v>14</v>
      </c>
      <c r="G208" s="4" t="n">
        <v>21</v>
      </c>
      <c r="H208" s="5" t="n">
        <v>384.56</v>
      </c>
      <c r="I208" s="5" t="n">
        <v>110.81</v>
      </c>
      <c r="J208" s="5" t="n">
        <v>12.575</v>
      </c>
    </row>
    <row r="209" customFormat="false" ht="15" hidden="false" customHeight="false" outlineLevel="0" collapsed="false">
      <c r="A209" s="6" t="n">
        <v>9</v>
      </c>
      <c r="B209" s="6" t="s">
        <v>21</v>
      </c>
      <c r="C209" s="7" t="s">
        <v>12</v>
      </c>
      <c r="D209" s="7" t="s">
        <v>12</v>
      </c>
      <c r="E209" s="7" t="s">
        <v>12</v>
      </c>
      <c r="F209" s="7" t="s">
        <v>14</v>
      </c>
      <c r="G209" s="7" t="n">
        <v>22</v>
      </c>
      <c r="H209" s="8" t="n">
        <v>426</v>
      </c>
      <c r="I209" s="8" t="n">
        <v>109.38</v>
      </c>
      <c r="J209" s="8" t="n">
        <v>12.626</v>
      </c>
    </row>
    <row r="210" customFormat="false" ht="15" hidden="false" customHeight="false" outlineLevel="0" collapsed="false">
      <c r="A210" s="3" t="n">
        <v>9</v>
      </c>
      <c r="B210" s="3" t="s">
        <v>21</v>
      </c>
      <c r="C210" s="4" t="s">
        <v>12</v>
      </c>
      <c r="D210" s="4" t="s">
        <v>12</v>
      </c>
      <c r="E210" s="4" t="s">
        <v>12</v>
      </c>
      <c r="F210" s="4" t="s">
        <v>14</v>
      </c>
      <c r="G210" s="4" t="n">
        <v>23</v>
      </c>
      <c r="H210" s="5" t="n">
        <v>241.69</v>
      </c>
      <c r="I210" s="5" t="n">
        <v>64.87</v>
      </c>
      <c r="J210" s="5" t="n">
        <v>12.498</v>
      </c>
    </row>
    <row r="211" customFormat="false" ht="15" hidden="false" customHeight="false" outlineLevel="0" collapsed="false">
      <c r="A211" s="6" t="n">
        <v>9</v>
      </c>
      <c r="B211" s="6" t="s">
        <v>21</v>
      </c>
      <c r="C211" s="7" t="s">
        <v>12</v>
      </c>
      <c r="D211" s="7" t="s">
        <v>12</v>
      </c>
      <c r="E211" s="7" t="s">
        <v>12</v>
      </c>
      <c r="F211" s="7" t="s">
        <v>14</v>
      </c>
      <c r="G211" s="7" t="n">
        <v>24</v>
      </c>
      <c r="H211" s="8" t="n">
        <v>382.11</v>
      </c>
      <c r="I211" s="8" t="n">
        <v>89.09</v>
      </c>
      <c r="J211" s="8" t="n">
        <v>12.602</v>
      </c>
    </row>
    <row r="212" customFormat="false" ht="15" hidden="false" customHeight="false" outlineLevel="0" collapsed="false">
      <c r="A212" s="3" t="n">
        <v>9</v>
      </c>
      <c r="B212" s="3" t="s">
        <v>21</v>
      </c>
      <c r="C212" s="4" t="s">
        <v>12</v>
      </c>
      <c r="D212" s="4" t="s">
        <v>12</v>
      </c>
      <c r="E212" s="4" t="s">
        <v>12</v>
      </c>
      <c r="F212" s="4" t="s">
        <v>14</v>
      </c>
      <c r="G212" s="4" t="n">
        <v>25</v>
      </c>
      <c r="H212" s="5" t="n">
        <v>513.25</v>
      </c>
      <c r="I212" s="5" t="n">
        <v>109.1</v>
      </c>
      <c r="J212" s="5" t="n">
        <v>12.629</v>
      </c>
    </row>
    <row r="213" customFormat="false" ht="15" hidden="false" customHeight="false" outlineLevel="0" collapsed="false">
      <c r="A213" s="6" t="n">
        <v>9</v>
      </c>
      <c r="B213" s="6" t="s">
        <v>21</v>
      </c>
      <c r="C213" s="7" t="s">
        <v>12</v>
      </c>
      <c r="D213" s="7" t="s">
        <v>12</v>
      </c>
      <c r="E213" s="7" t="s">
        <v>12</v>
      </c>
      <c r="F213" s="7" t="s">
        <v>14</v>
      </c>
      <c r="G213" s="7" t="n">
        <v>26</v>
      </c>
      <c r="H213" s="8" t="n">
        <v>383.61</v>
      </c>
      <c r="I213" s="8" t="n">
        <v>101.68</v>
      </c>
      <c r="J213" s="8" t="n">
        <v>12.542</v>
      </c>
    </row>
    <row r="214" customFormat="false" ht="15" hidden="false" customHeight="false" outlineLevel="0" collapsed="false">
      <c r="A214" s="3" t="n">
        <v>9</v>
      </c>
      <c r="B214" s="3" t="s">
        <v>21</v>
      </c>
      <c r="C214" s="4" t="s">
        <v>12</v>
      </c>
      <c r="D214" s="4" t="s">
        <v>12</v>
      </c>
      <c r="E214" s="4" t="s">
        <v>12</v>
      </c>
      <c r="F214" s="4" t="s">
        <v>14</v>
      </c>
      <c r="G214" s="4" t="n">
        <v>27</v>
      </c>
      <c r="H214" s="5" t="n">
        <v>380.12</v>
      </c>
      <c r="I214" s="5" t="n">
        <v>97.5</v>
      </c>
      <c r="J214" s="5" t="n">
        <v>12.58</v>
      </c>
    </row>
    <row r="215" customFormat="false" ht="15" hidden="false" customHeight="false" outlineLevel="0" collapsed="false">
      <c r="A215" s="6" t="n">
        <v>9</v>
      </c>
      <c r="B215" s="6" t="s">
        <v>21</v>
      </c>
      <c r="C215" s="7" t="s">
        <v>12</v>
      </c>
      <c r="D215" s="7" t="s">
        <v>12</v>
      </c>
      <c r="E215" s="7" t="s">
        <v>12</v>
      </c>
      <c r="F215" s="7" t="s">
        <v>14</v>
      </c>
      <c r="G215" s="7" t="n">
        <v>28</v>
      </c>
      <c r="H215" s="8" t="n">
        <v>380.68</v>
      </c>
      <c r="I215" s="8" t="n">
        <v>108.61</v>
      </c>
      <c r="J215" s="8" t="n">
        <v>12.629</v>
      </c>
    </row>
    <row r="216" customFormat="false" ht="15" hidden="false" customHeight="false" outlineLevel="0" collapsed="false">
      <c r="A216" s="3" t="n">
        <v>9</v>
      </c>
      <c r="B216" s="3" t="s">
        <v>21</v>
      </c>
      <c r="C216" s="4" t="s">
        <v>12</v>
      </c>
      <c r="D216" s="4" t="s">
        <v>12</v>
      </c>
      <c r="E216" s="4" t="s">
        <v>12</v>
      </c>
      <c r="F216" s="4" t="s">
        <v>14</v>
      </c>
      <c r="G216" s="4" t="n">
        <v>29</v>
      </c>
      <c r="H216" s="5" t="n">
        <v>313.55</v>
      </c>
      <c r="I216" s="5" t="n">
        <v>64.79</v>
      </c>
      <c r="J216" s="5" t="n">
        <v>12.573</v>
      </c>
    </row>
    <row r="217" customFormat="false" ht="15" hidden="false" customHeight="false" outlineLevel="0" collapsed="false">
      <c r="A217" s="6" t="n">
        <v>9</v>
      </c>
      <c r="B217" s="6" t="s">
        <v>21</v>
      </c>
      <c r="C217" s="7" t="s">
        <v>12</v>
      </c>
      <c r="D217" s="7" t="s">
        <v>12</v>
      </c>
      <c r="E217" s="7" t="s">
        <v>12</v>
      </c>
      <c r="F217" s="7" t="s">
        <v>14</v>
      </c>
      <c r="G217" s="7" t="n">
        <v>30</v>
      </c>
      <c r="H217" s="8" t="n">
        <v>346.65</v>
      </c>
      <c r="I217" s="8" t="n">
        <v>101.48</v>
      </c>
      <c r="J217" s="8" t="n">
        <v>12.553</v>
      </c>
    </row>
    <row r="218" customFormat="false" ht="15" hidden="false" customHeight="false" outlineLevel="0" collapsed="false">
      <c r="A218" s="3" t="n">
        <v>9</v>
      </c>
      <c r="B218" s="3" t="s">
        <v>21</v>
      </c>
      <c r="C218" s="4" t="s">
        <v>12</v>
      </c>
      <c r="D218" s="4" t="s">
        <v>12</v>
      </c>
      <c r="E218" s="4" t="s">
        <v>12</v>
      </c>
      <c r="F218" s="4" t="s">
        <v>14</v>
      </c>
      <c r="G218" s="4" t="n">
        <v>31</v>
      </c>
      <c r="H218" s="5" t="n">
        <v>438.6</v>
      </c>
      <c r="I218" s="5" t="n">
        <v>110.43</v>
      </c>
      <c r="J218" s="5" t="n">
        <v>12.522</v>
      </c>
    </row>
    <row r="219" customFormat="false" ht="15" hidden="false" customHeight="false" outlineLevel="0" collapsed="false">
      <c r="A219" s="6" t="n">
        <v>9</v>
      </c>
      <c r="B219" s="6" t="s">
        <v>21</v>
      </c>
      <c r="C219" s="7" t="s">
        <v>12</v>
      </c>
      <c r="D219" s="7" t="s">
        <v>12</v>
      </c>
      <c r="E219" s="7" t="s">
        <v>12</v>
      </c>
      <c r="F219" s="7" t="s">
        <v>14</v>
      </c>
      <c r="G219" s="7" t="n">
        <v>32</v>
      </c>
      <c r="H219" s="8" t="n">
        <v>373.9</v>
      </c>
      <c r="I219" s="8" t="n">
        <v>102.34</v>
      </c>
      <c r="J219" s="8" t="n">
        <v>12.629</v>
      </c>
    </row>
    <row r="220" customFormat="false" ht="15" hidden="false" customHeight="false" outlineLevel="0" collapsed="false">
      <c r="A220" s="3" t="n">
        <v>9</v>
      </c>
      <c r="B220" s="3" t="s">
        <v>21</v>
      </c>
      <c r="C220" s="4" t="s">
        <v>12</v>
      </c>
      <c r="D220" s="4" t="s">
        <v>12</v>
      </c>
      <c r="E220" s="4" t="s">
        <v>12</v>
      </c>
      <c r="F220" s="4" t="s">
        <v>14</v>
      </c>
      <c r="G220" s="4" t="n">
        <v>33</v>
      </c>
      <c r="H220" s="5" t="n">
        <v>486.29</v>
      </c>
      <c r="I220" s="5" t="n">
        <v>117.23</v>
      </c>
      <c r="J220" s="5" t="n">
        <v>12.618</v>
      </c>
    </row>
    <row r="221" customFormat="false" ht="15" hidden="false" customHeight="false" outlineLevel="0" collapsed="false">
      <c r="A221" s="6" t="n">
        <v>9</v>
      </c>
      <c r="B221" s="6" t="s">
        <v>21</v>
      </c>
      <c r="C221" s="7" t="s">
        <v>12</v>
      </c>
      <c r="D221" s="7" t="s">
        <v>12</v>
      </c>
      <c r="E221" s="7" t="s">
        <v>12</v>
      </c>
      <c r="F221" s="7" t="s">
        <v>14</v>
      </c>
      <c r="G221" s="7" t="n">
        <v>34</v>
      </c>
      <c r="H221" s="8" t="n">
        <v>401.35</v>
      </c>
      <c r="I221" s="8" t="n">
        <v>97.62</v>
      </c>
      <c r="J221" s="8" t="n">
        <v>12.591</v>
      </c>
    </row>
    <row r="222" customFormat="false" ht="15" hidden="false" customHeight="false" outlineLevel="0" collapsed="false">
      <c r="A222" s="3" t="n">
        <v>9</v>
      </c>
      <c r="B222" s="3" t="s">
        <v>21</v>
      </c>
      <c r="C222" s="4" t="s">
        <v>12</v>
      </c>
      <c r="D222" s="4" t="s">
        <v>12</v>
      </c>
      <c r="E222" s="4" t="s">
        <v>12</v>
      </c>
      <c r="F222" s="4" t="s">
        <v>14</v>
      </c>
      <c r="G222" s="4" t="n">
        <v>35</v>
      </c>
      <c r="H222" s="5" t="n">
        <v>360.95</v>
      </c>
      <c r="I222" s="5" t="n">
        <v>85.37</v>
      </c>
      <c r="J222" s="5" t="n">
        <v>12.555</v>
      </c>
    </row>
    <row r="223" customFormat="false" ht="15" hidden="false" customHeight="false" outlineLevel="0" collapsed="false">
      <c r="A223" s="9" t="n">
        <v>10</v>
      </c>
      <c r="B223" s="9" t="s">
        <v>22</v>
      </c>
      <c r="C223" s="10" t="s">
        <v>14</v>
      </c>
      <c r="D223" s="10" t="s">
        <v>12</v>
      </c>
      <c r="E223" s="10" t="s">
        <v>12</v>
      </c>
      <c r="F223" s="10" t="s">
        <v>14</v>
      </c>
      <c r="G223" s="10" t="n">
        <v>1</v>
      </c>
      <c r="H223" s="11" t="n">
        <v>303.87</v>
      </c>
      <c r="I223" s="11" t="n">
        <v>157.33</v>
      </c>
      <c r="J223" s="11" t="n">
        <v>12.341</v>
      </c>
    </row>
    <row r="224" customFormat="false" ht="15" hidden="false" customHeight="false" outlineLevel="0" collapsed="false">
      <c r="A224" s="6" t="n">
        <v>10</v>
      </c>
      <c r="B224" s="6" t="s">
        <v>22</v>
      </c>
      <c r="C224" s="7" t="s">
        <v>14</v>
      </c>
      <c r="D224" s="7" t="s">
        <v>12</v>
      </c>
      <c r="E224" s="7" t="s">
        <v>12</v>
      </c>
      <c r="F224" s="7" t="s">
        <v>14</v>
      </c>
      <c r="G224" s="7" t="n">
        <v>2</v>
      </c>
      <c r="H224" s="8" t="n">
        <v>191.62</v>
      </c>
      <c r="I224" s="8" t="n">
        <v>120.54</v>
      </c>
      <c r="J224" s="8" t="n">
        <v>12.328</v>
      </c>
    </row>
    <row r="225" customFormat="false" ht="15" hidden="false" customHeight="false" outlineLevel="0" collapsed="false">
      <c r="A225" s="9" t="n">
        <v>10</v>
      </c>
      <c r="B225" s="9" t="s">
        <v>22</v>
      </c>
      <c r="C225" s="10" t="s">
        <v>14</v>
      </c>
      <c r="D225" s="10" t="s">
        <v>12</v>
      </c>
      <c r="E225" s="10" t="s">
        <v>12</v>
      </c>
      <c r="F225" s="10" t="s">
        <v>14</v>
      </c>
      <c r="G225" s="10" t="n">
        <v>3</v>
      </c>
      <c r="H225" s="11" t="n">
        <v>286.98</v>
      </c>
      <c r="I225" s="11" t="n">
        <v>153.99</v>
      </c>
      <c r="J225" s="11" t="n">
        <v>12.327</v>
      </c>
    </row>
    <row r="226" customFormat="false" ht="15" hidden="false" customHeight="false" outlineLevel="0" collapsed="false">
      <c r="A226" s="6" t="n">
        <v>10</v>
      </c>
      <c r="B226" s="6" t="s">
        <v>22</v>
      </c>
      <c r="C226" s="7" t="s">
        <v>14</v>
      </c>
      <c r="D226" s="7" t="s">
        <v>12</v>
      </c>
      <c r="E226" s="7" t="s">
        <v>12</v>
      </c>
      <c r="F226" s="7" t="s">
        <v>14</v>
      </c>
      <c r="G226" s="7" t="n">
        <v>4</v>
      </c>
      <c r="H226" s="8" t="n">
        <v>302.7</v>
      </c>
      <c r="I226" s="8" t="n">
        <v>162.83</v>
      </c>
      <c r="J226" s="8" t="n">
        <v>12.376</v>
      </c>
    </row>
    <row r="227" customFormat="false" ht="15" hidden="false" customHeight="false" outlineLevel="0" collapsed="false">
      <c r="A227" s="9" t="n">
        <v>10</v>
      </c>
      <c r="B227" s="9" t="s">
        <v>22</v>
      </c>
      <c r="C227" s="10" t="s">
        <v>14</v>
      </c>
      <c r="D227" s="10" t="s">
        <v>12</v>
      </c>
      <c r="E227" s="10" t="s">
        <v>12</v>
      </c>
      <c r="F227" s="10" t="s">
        <v>14</v>
      </c>
      <c r="G227" s="10" t="n">
        <v>5</v>
      </c>
      <c r="H227" s="11" t="n">
        <v>225.4</v>
      </c>
      <c r="I227" s="11" t="n">
        <v>132.31</v>
      </c>
      <c r="J227" s="11" t="n">
        <v>12.339</v>
      </c>
    </row>
    <row r="228" customFormat="false" ht="15" hidden="false" customHeight="false" outlineLevel="0" collapsed="false">
      <c r="A228" s="6" t="n">
        <v>10</v>
      </c>
      <c r="B228" s="6" t="s">
        <v>22</v>
      </c>
      <c r="C228" s="7" t="s">
        <v>14</v>
      </c>
      <c r="D228" s="7" t="s">
        <v>12</v>
      </c>
      <c r="E228" s="7" t="s">
        <v>12</v>
      </c>
      <c r="F228" s="7" t="s">
        <v>14</v>
      </c>
      <c r="G228" s="7" t="n">
        <v>6</v>
      </c>
      <c r="H228" s="8" t="n">
        <v>183.44</v>
      </c>
      <c r="I228" s="8" t="n">
        <v>110.96</v>
      </c>
      <c r="J228" s="8" t="n">
        <v>12.398</v>
      </c>
    </row>
    <row r="229" customFormat="false" ht="15" hidden="false" customHeight="false" outlineLevel="0" collapsed="false">
      <c r="A229" s="9" t="n">
        <v>10</v>
      </c>
      <c r="B229" s="9" t="s">
        <v>22</v>
      </c>
      <c r="C229" s="10" t="s">
        <v>14</v>
      </c>
      <c r="D229" s="10" t="s">
        <v>12</v>
      </c>
      <c r="E229" s="10" t="s">
        <v>12</v>
      </c>
      <c r="F229" s="10" t="s">
        <v>14</v>
      </c>
      <c r="G229" s="10" t="n">
        <v>7</v>
      </c>
      <c r="H229" s="11" t="n">
        <v>208.69</v>
      </c>
      <c r="I229" s="11" t="n">
        <v>129.1</v>
      </c>
      <c r="J229" s="11" t="n">
        <v>12.313</v>
      </c>
    </row>
    <row r="230" customFormat="false" ht="15" hidden="false" customHeight="false" outlineLevel="0" collapsed="false">
      <c r="A230" s="6" t="n">
        <v>10</v>
      </c>
      <c r="B230" s="6" t="s">
        <v>22</v>
      </c>
      <c r="C230" s="7" t="s">
        <v>14</v>
      </c>
      <c r="D230" s="7" t="s">
        <v>12</v>
      </c>
      <c r="E230" s="7" t="s">
        <v>12</v>
      </c>
      <c r="F230" s="7" t="s">
        <v>14</v>
      </c>
      <c r="G230" s="7" t="n">
        <v>8</v>
      </c>
      <c r="H230" s="8" t="n">
        <v>313.68</v>
      </c>
      <c r="I230" s="8" t="n">
        <v>162.73</v>
      </c>
      <c r="J230" s="8" t="n">
        <v>12.367</v>
      </c>
    </row>
    <row r="231" customFormat="false" ht="15" hidden="false" customHeight="false" outlineLevel="0" collapsed="false">
      <c r="A231" s="9" t="n">
        <v>10</v>
      </c>
      <c r="B231" s="9" t="s">
        <v>22</v>
      </c>
      <c r="C231" s="10" t="s">
        <v>14</v>
      </c>
      <c r="D231" s="10" t="s">
        <v>12</v>
      </c>
      <c r="E231" s="10" t="s">
        <v>12</v>
      </c>
      <c r="F231" s="10" t="s">
        <v>14</v>
      </c>
      <c r="G231" s="10" t="n">
        <v>9</v>
      </c>
      <c r="H231" s="11" t="n">
        <v>214.22</v>
      </c>
      <c r="I231" s="11" t="n">
        <v>119.32</v>
      </c>
      <c r="J231" s="11" t="n">
        <v>12.426</v>
      </c>
    </row>
    <row r="232" customFormat="false" ht="15" hidden="false" customHeight="false" outlineLevel="0" collapsed="false">
      <c r="A232" s="6" t="n">
        <v>10</v>
      </c>
      <c r="B232" s="6" t="s">
        <v>22</v>
      </c>
      <c r="C232" s="7" t="s">
        <v>14</v>
      </c>
      <c r="D232" s="7" t="s">
        <v>12</v>
      </c>
      <c r="E232" s="7" t="s">
        <v>12</v>
      </c>
      <c r="F232" s="7" t="s">
        <v>14</v>
      </c>
      <c r="G232" s="7" t="n">
        <v>10</v>
      </c>
      <c r="H232" s="8" t="n">
        <v>284.14</v>
      </c>
      <c r="I232" s="8" t="n">
        <v>151.15</v>
      </c>
      <c r="J232" s="8" t="n">
        <v>12.322</v>
      </c>
    </row>
    <row r="233" customFormat="false" ht="15" hidden="false" customHeight="false" outlineLevel="0" collapsed="false">
      <c r="A233" s="9" t="n">
        <v>10</v>
      </c>
      <c r="B233" s="9" t="s">
        <v>22</v>
      </c>
      <c r="C233" s="10" t="s">
        <v>14</v>
      </c>
      <c r="D233" s="10" t="s">
        <v>12</v>
      </c>
      <c r="E233" s="10" t="s">
        <v>12</v>
      </c>
      <c r="F233" s="10" t="s">
        <v>14</v>
      </c>
      <c r="G233" s="10" t="n">
        <v>11</v>
      </c>
      <c r="H233" s="11" t="n">
        <v>201.46</v>
      </c>
      <c r="I233" s="11" t="n">
        <v>121.92</v>
      </c>
      <c r="J233" s="11" t="n">
        <v>12.355</v>
      </c>
    </row>
    <row r="234" customFormat="false" ht="15" hidden="false" customHeight="false" outlineLevel="0" collapsed="false">
      <c r="A234" s="6" t="n">
        <v>10</v>
      </c>
      <c r="B234" s="6" t="s">
        <v>22</v>
      </c>
      <c r="C234" s="7" t="s">
        <v>14</v>
      </c>
      <c r="D234" s="7" t="s">
        <v>12</v>
      </c>
      <c r="E234" s="7" t="s">
        <v>12</v>
      </c>
      <c r="F234" s="7" t="s">
        <v>14</v>
      </c>
      <c r="G234" s="7" t="n">
        <v>12</v>
      </c>
      <c r="H234" s="8" t="n">
        <v>297.58</v>
      </c>
      <c r="I234" s="8" t="n">
        <v>154.75</v>
      </c>
      <c r="J234" s="8" t="n">
        <v>12.334</v>
      </c>
    </row>
    <row r="235" customFormat="false" ht="15" hidden="false" customHeight="false" outlineLevel="0" collapsed="false">
      <c r="A235" s="9" t="n">
        <v>10</v>
      </c>
      <c r="B235" s="9" t="s">
        <v>22</v>
      </c>
      <c r="C235" s="10" t="s">
        <v>14</v>
      </c>
      <c r="D235" s="10" t="s">
        <v>12</v>
      </c>
      <c r="E235" s="10" t="s">
        <v>12</v>
      </c>
      <c r="F235" s="10" t="s">
        <v>14</v>
      </c>
      <c r="G235" s="10" t="n">
        <v>13</v>
      </c>
      <c r="H235" s="11" t="n">
        <v>170.37</v>
      </c>
      <c r="I235" s="11" t="n">
        <v>104.84</v>
      </c>
      <c r="J235" s="11" t="n">
        <v>12.359</v>
      </c>
    </row>
    <row r="236" customFormat="false" ht="15" hidden="false" customHeight="false" outlineLevel="0" collapsed="false">
      <c r="A236" s="6" t="n">
        <v>10</v>
      </c>
      <c r="B236" s="6" t="s">
        <v>22</v>
      </c>
      <c r="C236" s="7" t="s">
        <v>14</v>
      </c>
      <c r="D236" s="7" t="s">
        <v>12</v>
      </c>
      <c r="E236" s="7" t="s">
        <v>12</v>
      </c>
      <c r="F236" s="7" t="s">
        <v>14</v>
      </c>
      <c r="G236" s="7" t="n">
        <v>14</v>
      </c>
      <c r="H236" s="8" t="n">
        <v>270.38</v>
      </c>
      <c r="I236" s="8" t="n">
        <v>147.31</v>
      </c>
      <c r="J236" s="8" t="n">
        <v>12.316</v>
      </c>
    </row>
    <row r="237" customFormat="false" ht="15" hidden="false" customHeight="false" outlineLevel="0" collapsed="false">
      <c r="A237" s="9" t="n">
        <v>10</v>
      </c>
      <c r="B237" s="9" t="s">
        <v>22</v>
      </c>
      <c r="C237" s="10" t="s">
        <v>14</v>
      </c>
      <c r="D237" s="10" t="s">
        <v>12</v>
      </c>
      <c r="E237" s="10" t="s">
        <v>12</v>
      </c>
      <c r="F237" s="10" t="s">
        <v>14</v>
      </c>
      <c r="G237" s="10" t="n">
        <v>15</v>
      </c>
      <c r="H237" s="11" t="n">
        <v>250.86</v>
      </c>
      <c r="I237" s="11" t="n">
        <v>139.8</v>
      </c>
      <c r="J237" s="11" t="n">
        <v>12.374</v>
      </c>
    </row>
    <row r="238" customFormat="false" ht="15" hidden="false" customHeight="false" outlineLevel="0" collapsed="false">
      <c r="A238" s="6" t="n">
        <v>10</v>
      </c>
      <c r="B238" s="6" t="s">
        <v>22</v>
      </c>
      <c r="C238" s="7" t="s">
        <v>14</v>
      </c>
      <c r="D238" s="7" t="s">
        <v>12</v>
      </c>
      <c r="E238" s="7" t="s">
        <v>12</v>
      </c>
      <c r="F238" s="7" t="s">
        <v>14</v>
      </c>
      <c r="G238" s="7" t="n">
        <v>16</v>
      </c>
      <c r="H238" s="8" t="n">
        <v>193.05</v>
      </c>
      <c r="I238" s="8" t="n">
        <v>119.36</v>
      </c>
      <c r="J238" s="8" t="n">
        <v>12.366</v>
      </c>
    </row>
    <row r="239" customFormat="false" ht="15" hidden="false" customHeight="false" outlineLevel="0" collapsed="false">
      <c r="A239" s="9" t="n">
        <v>10</v>
      </c>
      <c r="B239" s="9" t="s">
        <v>22</v>
      </c>
      <c r="C239" s="10" t="s">
        <v>14</v>
      </c>
      <c r="D239" s="10" t="s">
        <v>12</v>
      </c>
      <c r="E239" s="10" t="s">
        <v>12</v>
      </c>
      <c r="F239" s="10" t="s">
        <v>14</v>
      </c>
      <c r="G239" s="10" t="n">
        <v>17</v>
      </c>
      <c r="H239" s="11" t="n">
        <v>210.74</v>
      </c>
      <c r="I239" s="11" t="n">
        <v>124.29</v>
      </c>
      <c r="J239" s="11" t="n">
        <v>12.235</v>
      </c>
    </row>
    <row r="240" customFormat="false" ht="15" hidden="false" customHeight="false" outlineLevel="0" collapsed="false">
      <c r="A240" s="6" t="n">
        <v>10</v>
      </c>
      <c r="B240" s="6" t="s">
        <v>22</v>
      </c>
      <c r="C240" s="7" t="s">
        <v>14</v>
      </c>
      <c r="D240" s="7" t="s">
        <v>12</v>
      </c>
      <c r="E240" s="7" t="s">
        <v>12</v>
      </c>
      <c r="F240" s="7" t="s">
        <v>14</v>
      </c>
      <c r="G240" s="7" t="n">
        <v>18</v>
      </c>
      <c r="H240" s="8" t="n">
        <v>244.98</v>
      </c>
      <c r="I240" s="8" t="n">
        <v>136.96</v>
      </c>
      <c r="J240" s="8" t="n">
        <v>12.377</v>
      </c>
    </row>
    <row r="241" customFormat="false" ht="15" hidden="false" customHeight="false" outlineLevel="0" collapsed="false">
      <c r="A241" s="9" t="n">
        <v>10</v>
      </c>
      <c r="B241" s="9" t="s">
        <v>22</v>
      </c>
      <c r="C241" s="10" t="s">
        <v>14</v>
      </c>
      <c r="D241" s="10" t="s">
        <v>12</v>
      </c>
      <c r="E241" s="10" t="s">
        <v>12</v>
      </c>
      <c r="F241" s="10" t="s">
        <v>14</v>
      </c>
      <c r="G241" s="10" t="n">
        <v>19</v>
      </c>
      <c r="H241" s="11" t="n">
        <v>253.45</v>
      </c>
      <c r="I241" s="11" t="n">
        <v>141.36</v>
      </c>
      <c r="J241" s="11" t="n">
        <v>12.366</v>
      </c>
    </row>
    <row r="242" customFormat="false" ht="15" hidden="false" customHeight="false" outlineLevel="0" collapsed="false">
      <c r="A242" s="6" t="n">
        <v>10</v>
      </c>
      <c r="B242" s="6" t="s">
        <v>22</v>
      </c>
      <c r="C242" s="7" t="s">
        <v>14</v>
      </c>
      <c r="D242" s="7" t="s">
        <v>12</v>
      </c>
      <c r="E242" s="7" t="s">
        <v>12</v>
      </c>
      <c r="F242" s="7" t="s">
        <v>14</v>
      </c>
      <c r="G242" s="7" t="n">
        <v>20</v>
      </c>
      <c r="H242" s="8" t="n">
        <v>294.5</v>
      </c>
      <c r="I242" s="8" t="n">
        <v>156.4</v>
      </c>
      <c r="J242" s="8" t="n">
        <v>12.314</v>
      </c>
    </row>
    <row r="243" customFormat="false" ht="15" hidden="false" customHeight="false" outlineLevel="0" collapsed="false">
      <c r="A243" s="9" t="n">
        <v>10</v>
      </c>
      <c r="B243" s="9" t="s">
        <v>22</v>
      </c>
      <c r="C243" s="10" t="s">
        <v>14</v>
      </c>
      <c r="D243" s="10" t="s">
        <v>12</v>
      </c>
      <c r="E243" s="10" t="s">
        <v>12</v>
      </c>
      <c r="F243" s="10" t="s">
        <v>14</v>
      </c>
      <c r="G243" s="10" t="n">
        <v>21</v>
      </c>
      <c r="H243" s="11" t="n">
        <v>300.81</v>
      </c>
      <c r="I243" s="11" t="n">
        <v>161.26</v>
      </c>
      <c r="J243" s="11" t="n">
        <v>12.345</v>
      </c>
    </row>
    <row r="244" customFormat="false" ht="15" hidden="false" customHeight="false" outlineLevel="0" collapsed="false">
      <c r="A244" s="6" t="n">
        <v>10</v>
      </c>
      <c r="B244" s="6" t="s">
        <v>22</v>
      </c>
      <c r="C244" s="7" t="s">
        <v>14</v>
      </c>
      <c r="D244" s="7" t="s">
        <v>12</v>
      </c>
      <c r="E244" s="7" t="s">
        <v>12</v>
      </c>
      <c r="F244" s="7" t="s">
        <v>14</v>
      </c>
      <c r="G244" s="7" t="n">
        <v>22</v>
      </c>
      <c r="H244" s="8" t="n">
        <v>190.62</v>
      </c>
      <c r="I244" s="8" t="n">
        <v>117.86</v>
      </c>
      <c r="J244" s="8" t="n">
        <v>12.375</v>
      </c>
    </row>
    <row r="245" customFormat="false" ht="15" hidden="false" customHeight="false" outlineLevel="0" collapsed="false">
      <c r="A245" s="9" t="n">
        <v>10</v>
      </c>
      <c r="B245" s="9" t="s">
        <v>22</v>
      </c>
      <c r="C245" s="10" t="s">
        <v>14</v>
      </c>
      <c r="D245" s="10" t="s">
        <v>12</v>
      </c>
      <c r="E245" s="10" t="s">
        <v>12</v>
      </c>
      <c r="F245" s="10" t="s">
        <v>14</v>
      </c>
      <c r="G245" s="10" t="n">
        <v>23</v>
      </c>
      <c r="H245" s="11" t="n">
        <v>293.63</v>
      </c>
      <c r="I245" s="11" t="n">
        <v>155.32</v>
      </c>
      <c r="J245" s="11" t="n">
        <v>12.307</v>
      </c>
    </row>
    <row r="246" customFormat="false" ht="15" hidden="false" customHeight="false" outlineLevel="0" collapsed="false">
      <c r="A246" s="6" t="n">
        <v>10</v>
      </c>
      <c r="B246" s="6" t="s">
        <v>22</v>
      </c>
      <c r="C246" s="7" t="s">
        <v>14</v>
      </c>
      <c r="D246" s="7" t="s">
        <v>12</v>
      </c>
      <c r="E246" s="7" t="s">
        <v>12</v>
      </c>
      <c r="F246" s="7" t="s">
        <v>14</v>
      </c>
      <c r="G246" s="7" t="n">
        <v>24</v>
      </c>
      <c r="H246" s="8" t="n">
        <v>295.46</v>
      </c>
      <c r="I246" s="8" t="n">
        <v>156.36</v>
      </c>
      <c r="J246" s="8" t="n">
        <v>12.323</v>
      </c>
    </row>
    <row r="247" customFormat="false" ht="15" hidden="false" customHeight="false" outlineLevel="0" collapsed="false">
      <c r="A247" s="9" t="n">
        <v>10</v>
      </c>
      <c r="B247" s="9" t="s">
        <v>22</v>
      </c>
      <c r="C247" s="10" t="s">
        <v>14</v>
      </c>
      <c r="D247" s="10" t="s">
        <v>12</v>
      </c>
      <c r="E247" s="10" t="s">
        <v>12</v>
      </c>
      <c r="F247" s="10" t="s">
        <v>14</v>
      </c>
      <c r="G247" s="10" t="n">
        <v>25</v>
      </c>
      <c r="H247" s="11" t="n">
        <v>179.12</v>
      </c>
      <c r="I247" s="11" t="n">
        <v>104.51</v>
      </c>
      <c r="J247" s="11" t="n">
        <v>12.34</v>
      </c>
    </row>
    <row r="248" customFormat="false" ht="15" hidden="false" customHeight="false" outlineLevel="0" collapsed="false">
      <c r="A248" s="6" t="n">
        <v>10</v>
      </c>
      <c r="B248" s="6" t="s">
        <v>22</v>
      </c>
      <c r="C248" s="7" t="s">
        <v>14</v>
      </c>
      <c r="D248" s="7" t="s">
        <v>12</v>
      </c>
      <c r="E248" s="7" t="s">
        <v>12</v>
      </c>
      <c r="F248" s="7" t="s">
        <v>14</v>
      </c>
      <c r="G248" s="7" t="n">
        <v>26</v>
      </c>
      <c r="H248" s="8" t="n">
        <v>224.65</v>
      </c>
      <c r="I248" s="8" t="n">
        <v>134.76</v>
      </c>
      <c r="J248" s="8" t="n">
        <v>12.379</v>
      </c>
    </row>
    <row r="249" customFormat="false" ht="15" hidden="false" customHeight="false" outlineLevel="0" collapsed="false">
      <c r="A249" s="9" t="n">
        <v>10</v>
      </c>
      <c r="B249" s="9" t="s">
        <v>22</v>
      </c>
      <c r="C249" s="10" t="s">
        <v>14</v>
      </c>
      <c r="D249" s="10" t="s">
        <v>12</v>
      </c>
      <c r="E249" s="10" t="s">
        <v>12</v>
      </c>
      <c r="F249" s="10" t="s">
        <v>14</v>
      </c>
      <c r="G249" s="10" t="n">
        <v>27</v>
      </c>
      <c r="H249" s="11" t="n">
        <v>263.48</v>
      </c>
      <c r="I249" s="11" t="n">
        <v>146.92</v>
      </c>
      <c r="J249" s="11" t="n">
        <v>12.37</v>
      </c>
    </row>
    <row r="250" customFormat="false" ht="15" hidden="false" customHeight="false" outlineLevel="0" collapsed="false">
      <c r="A250" s="6" t="n">
        <v>10</v>
      </c>
      <c r="B250" s="6" t="s">
        <v>22</v>
      </c>
      <c r="C250" s="7" t="s">
        <v>14</v>
      </c>
      <c r="D250" s="7" t="s">
        <v>12</v>
      </c>
      <c r="E250" s="7" t="s">
        <v>12</v>
      </c>
      <c r="F250" s="7" t="s">
        <v>14</v>
      </c>
      <c r="G250" s="7" t="n">
        <v>28</v>
      </c>
      <c r="H250" s="8" t="n">
        <v>271.99</v>
      </c>
      <c r="I250" s="8" t="n">
        <v>149.46</v>
      </c>
      <c r="J250" s="8" t="n">
        <v>12.396</v>
      </c>
    </row>
    <row r="251" customFormat="false" ht="15" hidden="false" customHeight="false" outlineLevel="0" collapsed="false">
      <c r="A251" s="9" t="n">
        <v>10</v>
      </c>
      <c r="B251" s="9" t="s">
        <v>22</v>
      </c>
      <c r="C251" s="10" t="s">
        <v>14</v>
      </c>
      <c r="D251" s="10" t="s">
        <v>12</v>
      </c>
      <c r="E251" s="10" t="s">
        <v>12</v>
      </c>
      <c r="F251" s="10" t="s">
        <v>14</v>
      </c>
      <c r="G251" s="10" t="n">
        <v>29</v>
      </c>
      <c r="H251" s="11" t="n">
        <v>259.95</v>
      </c>
      <c r="I251" s="11" t="n">
        <v>146.23</v>
      </c>
      <c r="J251" s="11" t="n">
        <v>12.383</v>
      </c>
    </row>
    <row r="252" customFormat="false" ht="15" hidden="false" customHeight="false" outlineLevel="0" collapsed="false">
      <c r="A252" s="6" t="n">
        <v>10</v>
      </c>
      <c r="B252" s="6" t="s">
        <v>22</v>
      </c>
      <c r="C252" s="7" t="s">
        <v>14</v>
      </c>
      <c r="D252" s="7" t="s">
        <v>12</v>
      </c>
      <c r="E252" s="7" t="s">
        <v>12</v>
      </c>
      <c r="F252" s="7" t="s">
        <v>14</v>
      </c>
      <c r="G252" s="7" t="n">
        <v>30</v>
      </c>
      <c r="H252" s="8" t="n">
        <v>280.47</v>
      </c>
      <c r="I252" s="8" t="n">
        <v>152.13</v>
      </c>
      <c r="J252" s="8" t="n">
        <v>12.369</v>
      </c>
    </row>
    <row r="253" customFormat="false" ht="15" hidden="false" customHeight="false" outlineLevel="0" collapsed="false">
      <c r="A253" s="9" t="n">
        <v>10</v>
      </c>
      <c r="B253" s="9" t="s">
        <v>22</v>
      </c>
      <c r="C253" s="10" t="s">
        <v>14</v>
      </c>
      <c r="D253" s="10" t="s">
        <v>12</v>
      </c>
      <c r="E253" s="10" t="s">
        <v>12</v>
      </c>
      <c r="F253" s="10" t="s">
        <v>14</v>
      </c>
      <c r="G253" s="10" t="n">
        <v>31</v>
      </c>
      <c r="H253" s="11" t="n">
        <v>138.69</v>
      </c>
      <c r="I253" s="11" t="n">
        <v>86.19</v>
      </c>
      <c r="J253" s="11" t="n">
        <v>12.359</v>
      </c>
    </row>
    <row r="254" customFormat="false" ht="15" hidden="false" customHeight="false" outlineLevel="0" collapsed="false">
      <c r="A254" s="6" t="n">
        <v>10</v>
      </c>
      <c r="B254" s="6" t="s">
        <v>22</v>
      </c>
      <c r="C254" s="7" t="s">
        <v>14</v>
      </c>
      <c r="D254" s="7" t="s">
        <v>12</v>
      </c>
      <c r="E254" s="7" t="s">
        <v>12</v>
      </c>
      <c r="F254" s="7" t="s">
        <v>14</v>
      </c>
      <c r="G254" s="7" t="n">
        <v>32</v>
      </c>
      <c r="H254" s="8" t="n">
        <v>198.79</v>
      </c>
      <c r="I254" s="8" t="n">
        <v>122.87</v>
      </c>
      <c r="J254" s="8" t="n">
        <v>12.367</v>
      </c>
    </row>
    <row r="255" customFormat="false" ht="15" hidden="false" customHeight="false" outlineLevel="0" collapsed="false">
      <c r="A255" s="9" t="n">
        <v>10</v>
      </c>
      <c r="B255" s="9" t="s">
        <v>22</v>
      </c>
      <c r="C255" s="10" t="s">
        <v>14</v>
      </c>
      <c r="D255" s="10" t="s">
        <v>12</v>
      </c>
      <c r="E255" s="10" t="s">
        <v>12</v>
      </c>
      <c r="F255" s="10" t="s">
        <v>14</v>
      </c>
      <c r="G255" s="10" t="n">
        <v>33</v>
      </c>
      <c r="H255" s="11" t="n">
        <v>237</v>
      </c>
      <c r="I255" s="11" t="n">
        <v>131.47</v>
      </c>
      <c r="J255" s="11" t="n">
        <v>12.384</v>
      </c>
    </row>
    <row r="256" customFormat="false" ht="15" hidden="false" customHeight="false" outlineLevel="0" collapsed="false">
      <c r="A256" s="6" t="n">
        <v>10</v>
      </c>
      <c r="B256" s="6" t="s">
        <v>22</v>
      </c>
      <c r="C256" s="7" t="s">
        <v>14</v>
      </c>
      <c r="D256" s="7" t="s">
        <v>12</v>
      </c>
      <c r="E256" s="7" t="s">
        <v>12</v>
      </c>
      <c r="F256" s="7" t="s">
        <v>14</v>
      </c>
      <c r="G256" s="7" t="n">
        <v>34</v>
      </c>
      <c r="H256" s="8" t="n">
        <v>280.61</v>
      </c>
      <c r="I256" s="8" t="n">
        <v>157.39</v>
      </c>
      <c r="J256" s="8" t="n">
        <v>12.396</v>
      </c>
    </row>
    <row r="257" customFormat="false" ht="15" hidden="false" customHeight="false" outlineLevel="0" collapsed="false">
      <c r="A257" s="9" t="n">
        <v>10</v>
      </c>
      <c r="B257" s="9" t="s">
        <v>22</v>
      </c>
      <c r="C257" s="10" t="s">
        <v>14</v>
      </c>
      <c r="D257" s="10" t="s">
        <v>12</v>
      </c>
      <c r="E257" s="10" t="s">
        <v>12</v>
      </c>
      <c r="F257" s="10" t="s">
        <v>14</v>
      </c>
      <c r="G257" s="10" t="n">
        <v>35</v>
      </c>
      <c r="H257" s="11" t="n">
        <v>192.14</v>
      </c>
      <c r="I257" s="11" t="n">
        <v>119.64</v>
      </c>
      <c r="J257" s="11" t="n">
        <v>12.315</v>
      </c>
    </row>
    <row r="258" customFormat="false" ht="15" hidden="false" customHeight="false" outlineLevel="0" collapsed="false">
      <c r="A258" s="6" t="n">
        <v>10</v>
      </c>
      <c r="B258" s="6" t="s">
        <v>22</v>
      </c>
      <c r="C258" s="7" t="s">
        <v>14</v>
      </c>
      <c r="D258" s="7" t="s">
        <v>12</v>
      </c>
      <c r="E258" s="7" t="s">
        <v>12</v>
      </c>
      <c r="F258" s="7" t="s">
        <v>14</v>
      </c>
      <c r="G258" s="7" t="n">
        <v>36</v>
      </c>
      <c r="H258" s="8" t="n">
        <v>195.66</v>
      </c>
      <c r="I258" s="8" t="n">
        <v>123.62</v>
      </c>
      <c r="J258" s="8" t="n">
        <v>12.274</v>
      </c>
    </row>
    <row r="259" customFormat="false" ht="15" hidden="false" customHeight="false" outlineLevel="0" collapsed="false">
      <c r="A259" s="9" t="n">
        <v>10</v>
      </c>
      <c r="B259" s="9" t="s">
        <v>22</v>
      </c>
      <c r="C259" s="10" t="s">
        <v>14</v>
      </c>
      <c r="D259" s="10" t="s">
        <v>12</v>
      </c>
      <c r="E259" s="10" t="s">
        <v>12</v>
      </c>
      <c r="F259" s="10" t="s">
        <v>14</v>
      </c>
      <c r="G259" s="10" t="n">
        <v>37</v>
      </c>
      <c r="H259" s="11" t="n">
        <v>230.13</v>
      </c>
      <c r="I259" s="11" t="n">
        <v>131.54</v>
      </c>
      <c r="J259" s="11" t="n">
        <v>12.332</v>
      </c>
    </row>
    <row r="260" customFormat="false" ht="15" hidden="false" customHeight="false" outlineLevel="0" collapsed="false">
      <c r="A260" s="6" t="n">
        <v>10</v>
      </c>
      <c r="B260" s="6" t="s">
        <v>22</v>
      </c>
      <c r="C260" s="7" t="s">
        <v>14</v>
      </c>
      <c r="D260" s="7" t="s">
        <v>12</v>
      </c>
      <c r="E260" s="7" t="s">
        <v>12</v>
      </c>
      <c r="F260" s="7" t="s">
        <v>14</v>
      </c>
      <c r="G260" s="7" t="n">
        <v>38</v>
      </c>
      <c r="H260" s="8" t="n">
        <v>173.44</v>
      </c>
      <c r="I260" s="8" t="n">
        <v>107.95</v>
      </c>
      <c r="J260" s="8" t="n">
        <v>12.336</v>
      </c>
    </row>
    <row r="261" customFormat="false" ht="15" hidden="false" customHeight="false" outlineLevel="0" collapsed="false">
      <c r="A261" s="9" t="n">
        <v>10</v>
      </c>
      <c r="B261" s="9" t="s">
        <v>22</v>
      </c>
      <c r="C261" s="10" t="s">
        <v>14</v>
      </c>
      <c r="D261" s="10" t="s">
        <v>12</v>
      </c>
      <c r="E261" s="10" t="s">
        <v>12</v>
      </c>
      <c r="F261" s="10" t="s">
        <v>14</v>
      </c>
      <c r="G261" s="10" t="n">
        <v>39</v>
      </c>
      <c r="H261" s="11" t="n">
        <v>271.6</v>
      </c>
      <c r="I261" s="11" t="n">
        <v>151.07</v>
      </c>
      <c r="J261" s="11" t="n">
        <v>12.308</v>
      </c>
    </row>
    <row r="262" customFormat="false" ht="15" hidden="false" customHeight="false" outlineLevel="0" collapsed="false">
      <c r="A262" s="6" t="n">
        <v>10</v>
      </c>
      <c r="B262" s="6" t="s">
        <v>22</v>
      </c>
      <c r="C262" s="7" t="s">
        <v>14</v>
      </c>
      <c r="D262" s="7" t="s">
        <v>12</v>
      </c>
      <c r="E262" s="7" t="s">
        <v>12</v>
      </c>
      <c r="F262" s="7" t="s">
        <v>14</v>
      </c>
      <c r="G262" s="7" t="n">
        <v>40</v>
      </c>
      <c r="H262" s="8" t="n">
        <v>223.14</v>
      </c>
      <c r="I262" s="8" t="n">
        <v>134.15</v>
      </c>
      <c r="J262" s="8" t="n">
        <v>12.322</v>
      </c>
    </row>
    <row r="263" customFormat="false" ht="15" hidden="false" customHeight="false" outlineLevel="0" collapsed="false">
      <c r="A263" s="9" t="n">
        <v>10</v>
      </c>
      <c r="B263" s="9" t="s">
        <v>22</v>
      </c>
      <c r="C263" s="10" t="s">
        <v>14</v>
      </c>
      <c r="D263" s="10" t="s">
        <v>12</v>
      </c>
      <c r="E263" s="10" t="s">
        <v>12</v>
      </c>
      <c r="F263" s="10" t="s">
        <v>14</v>
      </c>
      <c r="G263" s="10" t="n">
        <v>41</v>
      </c>
      <c r="H263" s="11" t="n">
        <v>255.09</v>
      </c>
      <c r="I263" s="11" t="n">
        <v>147.13</v>
      </c>
      <c r="J263" s="11" t="n">
        <v>12.32</v>
      </c>
    </row>
    <row r="264" customFormat="false" ht="15" hidden="false" customHeight="false" outlineLevel="0" collapsed="false">
      <c r="A264" s="6" t="n">
        <v>10</v>
      </c>
      <c r="B264" s="6" t="s">
        <v>22</v>
      </c>
      <c r="C264" s="7" t="s">
        <v>14</v>
      </c>
      <c r="D264" s="7" t="s">
        <v>12</v>
      </c>
      <c r="E264" s="7" t="s">
        <v>12</v>
      </c>
      <c r="F264" s="7" t="s">
        <v>14</v>
      </c>
      <c r="G264" s="7" t="n">
        <v>42</v>
      </c>
      <c r="H264" s="8" t="n">
        <v>238.57</v>
      </c>
      <c r="I264" s="8" t="n">
        <v>134.09</v>
      </c>
      <c r="J264" s="8" t="n">
        <v>12.347</v>
      </c>
    </row>
    <row r="265" customFormat="false" ht="15" hidden="false" customHeight="false" outlineLevel="0" collapsed="false">
      <c r="A265" s="9" t="n">
        <v>10</v>
      </c>
      <c r="B265" s="9" t="s">
        <v>22</v>
      </c>
      <c r="C265" s="10" t="s">
        <v>14</v>
      </c>
      <c r="D265" s="10" t="s">
        <v>12</v>
      </c>
      <c r="E265" s="10" t="s">
        <v>12</v>
      </c>
      <c r="F265" s="10" t="s">
        <v>14</v>
      </c>
      <c r="G265" s="10" t="n">
        <v>43</v>
      </c>
      <c r="H265" s="11" t="n">
        <v>242.7</v>
      </c>
      <c r="I265" s="11" t="n">
        <v>135.66</v>
      </c>
      <c r="J265" s="11" t="n">
        <v>12.383</v>
      </c>
    </row>
    <row r="266" customFormat="false" ht="15" hidden="false" customHeight="false" outlineLevel="0" collapsed="false">
      <c r="A266" s="6" t="n">
        <v>10</v>
      </c>
      <c r="B266" s="6" t="s">
        <v>22</v>
      </c>
      <c r="C266" s="7" t="s">
        <v>14</v>
      </c>
      <c r="D266" s="7" t="s">
        <v>12</v>
      </c>
      <c r="E266" s="7" t="s">
        <v>12</v>
      </c>
      <c r="F266" s="7" t="s">
        <v>14</v>
      </c>
      <c r="G266" s="7" t="n">
        <v>44</v>
      </c>
      <c r="H266" s="8" t="n">
        <v>247.04</v>
      </c>
      <c r="I266" s="8" t="n">
        <v>136.39</v>
      </c>
      <c r="J266" s="8" t="n">
        <v>12.311</v>
      </c>
    </row>
    <row r="267" customFormat="false" ht="15" hidden="false" customHeight="false" outlineLevel="0" collapsed="false">
      <c r="A267" s="9" t="n">
        <v>10</v>
      </c>
      <c r="B267" s="9" t="s">
        <v>22</v>
      </c>
      <c r="C267" s="10" t="s">
        <v>14</v>
      </c>
      <c r="D267" s="10" t="s">
        <v>12</v>
      </c>
      <c r="E267" s="10" t="s">
        <v>12</v>
      </c>
      <c r="F267" s="10" t="s">
        <v>14</v>
      </c>
      <c r="G267" s="10" t="n">
        <v>45</v>
      </c>
      <c r="H267" s="11" t="n">
        <v>258.02</v>
      </c>
      <c r="I267" s="11" t="n">
        <v>144.23</v>
      </c>
      <c r="J267" s="11" t="n">
        <v>12.331</v>
      </c>
    </row>
    <row r="268" customFormat="false" ht="15" hidden="false" customHeight="false" outlineLevel="0" collapsed="false">
      <c r="A268" s="6" t="n">
        <v>10</v>
      </c>
      <c r="B268" s="6" t="s">
        <v>22</v>
      </c>
      <c r="C268" s="7" t="s">
        <v>14</v>
      </c>
      <c r="D268" s="7" t="s">
        <v>12</v>
      </c>
      <c r="E268" s="7" t="s">
        <v>12</v>
      </c>
      <c r="F268" s="7" t="s">
        <v>14</v>
      </c>
      <c r="G268" s="7" t="n">
        <v>46</v>
      </c>
      <c r="H268" s="8" t="n">
        <v>186.81</v>
      </c>
      <c r="I268" s="8" t="n">
        <v>118.64</v>
      </c>
      <c r="J268" s="8" t="n">
        <v>12.307</v>
      </c>
    </row>
    <row r="269" customFormat="false" ht="15" hidden="false" customHeight="false" outlineLevel="0" collapsed="false">
      <c r="A269" s="9" t="n">
        <v>10</v>
      </c>
      <c r="B269" s="9" t="s">
        <v>22</v>
      </c>
      <c r="C269" s="10" t="s">
        <v>14</v>
      </c>
      <c r="D269" s="10" t="s">
        <v>12</v>
      </c>
      <c r="E269" s="10" t="s">
        <v>12</v>
      </c>
      <c r="F269" s="10" t="s">
        <v>14</v>
      </c>
      <c r="G269" s="10" t="n">
        <v>47</v>
      </c>
      <c r="H269" s="11" t="n">
        <v>248.25</v>
      </c>
      <c r="I269" s="11" t="n">
        <v>142.01</v>
      </c>
      <c r="J269" s="11" t="n">
        <v>12.372</v>
      </c>
    </row>
    <row r="270" customFormat="false" ht="15" hidden="false" customHeight="false" outlineLevel="0" collapsed="false">
      <c r="A270" s="6" t="n">
        <v>10</v>
      </c>
      <c r="B270" s="6" t="s">
        <v>22</v>
      </c>
      <c r="C270" s="7" t="s">
        <v>14</v>
      </c>
      <c r="D270" s="7" t="s">
        <v>12</v>
      </c>
      <c r="E270" s="7" t="s">
        <v>12</v>
      </c>
      <c r="F270" s="7" t="s">
        <v>14</v>
      </c>
      <c r="G270" s="7" t="n">
        <v>48</v>
      </c>
      <c r="H270" s="8" t="n">
        <v>185.47</v>
      </c>
      <c r="I270" s="8" t="n">
        <v>112.47</v>
      </c>
      <c r="J270" s="8" t="n">
        <v>12.303</v>
      </c>
    </row>
    <row r="271" customFormat="false" ht="15" hidden="false" customHeight="false" outlineLevel="0" collapsed="false">
      <c r="A271" s="9" t="n">
        <v>10</v>
      </c>
      <c r="B271" s="9" t="s">
        <v>22</v>
      </c>
      <c r="C271" s="10" t="s">
        <v>14</v>
      </c>
      <c r="D271" s="10" t="s">
        <v>12</v>
      </c>
      <c r="E271" s="10" t="s">
        <v>12</v>
      </c>
      <c r="F271" s="10" t="s">
        <v>14</v>
      </c>
      <c r="G271" s="10" t="n">
        <v>49</v>
      </c>
      <c r="H271" s="11" t="n">
        <v>299.77</v>
      </c>
      <c r="I271" s="11" t="n">
        <v>158.4</v>
      </c>
      <c r="J271" s="11" t="n">
        <v>12.348</v>
      </c>
    </row>
    <row r="272" customFormat="false" ht="15" hidden="false" customHeight="false" outlineLevel="0" collapsed="false">
      <c r="A272" s="6" t="n">
        <v>10</v>
      </c>
      <c r="B272" s="6" t="s">
        <v>22</v>
      </c>
      <c r="C272" s="7" t="s">
        <v>14</v>
      </c>
      <c r="D272" s="7" t="s">
        <v>12</v>
      </c>
      <c r="E272" s="7" t="s">
        <v>12</v>
      </c>
      <c r="F272" s="7" t="s">
        <v>14</v>
      </c>
      <c r="G272" s="7" t="n">
        <v>50</v>
      </c>
      <c r="H272" s="8" t="n">
        <v>188.77</v>
      </c>
      <c r="I272" s="8" t="n">
        <v>123.09</v>
      </c>
      <c r="J272" s="8" t="n">
        <v>12.316</v>
      </c>
    </row>
    <row r="273" customFormat="false" ht="15" hidden="false" customHeight="false" outlineLevel="0" collapsed="false">
      <c r="A273" s="9" t="n">
        <v>10</v>
      </c>
      <c r="B273" s="9" t="s">
        <v>22</v>
      </c>
      <c r="C273" s="10" t="s">
        <v>14</v>
      </c>
      <c r="D273" s="10" t="s">
        <v>12</v>
      </c>
      <c r="E273" s="10" t="s">
        <v>12</v>
      </c>
      <c r="F273" s="10" t="s">
        <v>14</v>
      </c>
      <c r="G273" s="10" t="n">
        <v>51</v>
      </c>
      <c r="H273" s="11" t="n">
        <v>193.64</v>
      </c>
      <c r="I273" s="11" t="n">
        <v>119.74</v>
      </c>
      <c r="J273" s="11" t="n">
        <v>12.346</v>
      </c>
    </row>
    <row r="274" customFormat="false" ht="15" hidden="false" customHeight="false" outlineLevel="0" collapsed="false">
      <c r="A274" s="6" t="n">
        <v>10</v>
      </c>
      <c r="B274" s="6" t="s">
        <v>22</v>
      </c>
      <c r="C274" s="7" t="s">
        <v>14</v>
      </c>
      <c r="D274" s="7" t="s">
        <v>12</v>
      </c>
      <c r="E274" s="7" t="s">
        <v>12</v>
      </c>
      <c r="F274" s="7" t="s">
        <v>14</v>
      </c>
      <c r="G274" s="7" t="n">
        <v>52</v>
      </c>
      <c r="H274" s="8" t="n">
        <v>157.39</v>
      </c>
      <c r="I274" s="8" t="n">
        <v>105.93</v>
      </c>
      <c r="J274" s="8" t="n">
        <v>12.3</v>
      </c>
    </row>
    <row r="275" customFormat="false" ht="15" hidden="false" customHeight="false" outlineLevel="0" collapsed="false">
      <c r="A275" s="9" t="n">
        <v>10</v>
      </c>
      <c r="B275" s="9" t="s">
        <v>22</v>
      </c>
      <c r="C275" s="10" t="s">
        <v>14</v>
      </c>
      <c r="D275" s="10" t="s">
        <v>12</v>
      </c>
      <c r="E275" s="10" t="s">
        <v>12</v>
      </c>
      <c r="F275" s="10" t="s">
        <v>14</v>
      </c>
      <c r="G275" s="10" t="n">
        <v>53</v>
      </c>
      <c r="H275" s="11" t="n">
        <v>197.12</v>
      </c>
      <c r="I275" s="11" t="n">
        <v>116.67</v>
      </c>
      <c r="J275" s="11" t="n">
        <v>12.35</v>
      </c>
    </row>
    <row r="276" customFormat="false" ht="15" hidden="false" customHeight="false" outlineLevel="0" collapsed="false">
      <c r="A276" s="6" t="n">
        <v>10</v>
      </c>
      <c r="B276" s="6" t="s">
        <v>22</v>
      </c>
      <c r="C276" s="7" t="s">
        <v>14</v>
      </c>
      <c r="D276" s="7" t="s">
        <v>12</v>
      </c>
      <c r="E276" s="7" t="s">
        <v>12</v>
      </c>
      <c r="F276" s="7" t="s">
        <v>14</v>
      </c>
      <c r="G276" s="7" t="n">
        <v>54</v>
      </c>
      <c r="H276" s="8" t="n">
        <v>205.66</v>
      </c>
      <c r="I276" s="8" t="n">
        <v>120.99</v>
      </c>
      <c r="J276" s="8" t="n">
        <v>12.329</v>
      </c>
    </row>
    <row r="277" customFormat="false" ht="15" hidden="false" customHeight="false" outlineLevel="0" collapsed="false">
      <c r="A277" s="9" t="n">
        <v>10</v>
      </c>
      <c r="B277" s="9" t="s">
        <v>22</v>
      </c>
      <c r="C277" s="10" t="s">
        <v>14</v>
      </c>
      <c r="D277" s="10" t="s">
        <v>12</v>
      </c>
      <c r="E277" s="10" t="s">
        <v>12</v>
      </c>
      <c r="F277" s="10" t="s">
        <v>14</v>
      </c>
      <c r="G277" s="10" t="n">
        <v>55</v>
      </c>
      <c r="H277" s="11" t="n">
        <v>209.62</v>
      </c>
      <c r="I277" s="11" t="n">
        <v>123.42</v>
      </c>
      <c r="J277" s="11" t="n">
        <v>12.302</v>
      </c>
    </row>
    <row r="278" customFormat="false" ht="15" hidden="false" customHeight="false" outlineLevel="0" collapsed="false">
      <c r="A278" s="6" t="n">
        <v>10</v>
      </c>
      <c r="B278" s="6" t="s">
        <v>22</v>
      </c>
      <c r="C278" s="7" t="s">
        <v>14</v>
      </c>
      <c r="D278" s="7" t="s">
        <v>12</v>
      </c>
      <c r="E278" s="7" t="s">
        <v>12</v>
      </c>
      <c r="F278" s="7" t="s">
        <v>14</v>
      </c>
      <c r="G278" s="7" t="n">
        <v>56</v>
      </c>
      <c r="H278" s="8" t="n">
        <v>241.44</v>
      </c>
      <c r="I278" s="8" t="n">
        <v>136.08</v>
      </c>
      <c r="J278" s="8" t="n">
        <v>12.333</v>
      </c>
    </row>
    <row r="279" customFormat="false" ht="15" hidden="false" customHeight="false" outlineLevel="0" collapsed="false">
      <c r="A279" s="9" t="n">
        <v>10</v>
      </c>
      <c r="B279" s="9" t="s">
        <v>22</v>
      </c>
      <c r="C279" s="10" t="s">
        <v>14</v>
      </c>
      <c r="D279" s="10" t="s">
        <v>12</v>
      </c>
      <c r="E279" s="10" t="s">
        <v>12</v>
      </c>
      <c r="F279" s="10" t="s">
        <v>14</v>
      </c>
      <c r="G279" s="10" t="n">
        <v>57</v>
      </c>
      <c r="H279" s="11" t="n">
        <v>158.72</v>
      </c>
      <c r="I279" s="11" t="n">
        <v>98.24</v>
      </c>
      <c r="J279" s="11" t="n">
        <v>12.363</v>
      </c>
    </row>
    <row r="280" customFormat="false" ht="15" hidden="false" customHeight="false" outlineLevel="0" collapsed="false">
      <c r="A280" s="6" t="n">
        <v>10</v>
      </c>
      <c r="B280" s="6" t="s">
        <v>22</v>
      </c>
      <c r="C280" s="7" t="s">
        <v>14</v>
      </c>
      <c r="D280" s="7" t="s">
        <v>12</v>
      </c>
      <c r="E280" s="7" t="s">
        <v>12</v>
      </c>
      <c r="F280" s="7" t="s">
        <v>14</v>
      </c>
      <c r="G280" s="7" t="n">
        <v>58</v>
      </c>
      <c r="H280" s="8" t="n">
        <v>193.92</v>
      </c>
      <c r="I280" s="8" t="n">
        <v>118.32</v>
      </c>
      <c r="J280" s="8" t="n">
        <v>12.394</v>
      </c>
    </row>
    <row r="281" customFormat="false" ht="15" hidden="false" customHeight="false" outlineLevel="0" collapsed="false">
      <c r="A281" s="9" t="n">
        <v>10</v>
      </c>
      <c r="B281" s="9" t="s">
        <v>22</v>
      </c>
      <c r="C281" s="10" t="s">
        <v>14</v>
      </c>
      <c r="D281" s="10" t="s">
        <v>12</v>
      </c>
      <c r="E281" s="10" t="s">
        <v>12</v>
      </c>
      <c r="F281" s="10" t="s">
        <v>14</v>
      </c>
      <c r="G281" s="10" t="n">
        <v>59</v>
      </c>
      <c r="H281" s="11" t="n">
        <v>204.35</v>
      </c>
      <c r="I281" s="11" t="n">
        <v>116.38</v>
      </c>
      <c r="J281" s="11" t="n">
        <v>12.423</v>
      </c>
    </row>
    <row r="282" customFormat="false" ht="15" hidden="false" customHeight="false" outlineLevel="0" collapsed="false">
      <c r="A282" s="6" t="n">
        <v>10</v>
      </c>
      <c r="B282" s="6" t="s">
        <v>22</v>
      </c>
      <c r="C282" s="7" t="s">
        <v>14</v>
      </c>
      <c r="D282" s="7" t="s">
        <v>12</v>
      </c>
      <c r="E282" s="7" t="s">
        <v>12</v>
      </c>
      <c r="F282" s="7" t="s">
        <v>14</v>
      </c>
      <c r="G282" s="7" t="n">
        <v>60</v>
      </c>
      <c r="H282" s="8" t="n">
        <v>194.8</v>
      </c>
      <c r="I282" s="8" t="n">
        <v>115.64</v>
      </c>
      <c r="J282" s="8" t="n">
        <v>12.26</v>
      </c>
    </row>
    <row r="283" customFormat="false" ht="15" hidden="false" customHeight="false" outlineLevel="0" collapsed="false">
      <c r="A283" s="9" t="n">
        <v>10</v>
      </c>
      <c r="B283" s="9" t="s">
        <v>22</v>
      </c>
      <c r="C283" s="10" t="s">
        <v>14</v>
      </c>
      <c r="D283" s="10" t="s">
        <v>12</v>
      </c>
      <c r="E283" s="10" t="s">
        <v>12</v>
      </c>
      <c r="F283" s="10" t="s">
        <v>14</v>
      </c>
      <c r="G283" s="10" t="n">
        <v>61</v>
      </c>
      <c r="H283" s="11" t="n">
        <v>293.77</v>
      </c>
      <c r="I283" s="11" t="n">
        <v>156.8</v>
      </c>
      <c r="J283" s="11" t="n">
        <v>12.373</v>
      </c>
    </row>
    <row r="284" customFormat="false" ht="15" hidden="false" customHeight="false" outlineLevel="0" collapsed="false">
      <c r="A284" s="6" t="n">
        <v>10</v>
      </c>
      <c r="B284" s="6" t="s">
        <v>22</v>
      </c>
      <c r="C284" s="7" t="s">
        <v>14</v>
      </c>
      <c r="D284" s="7" t="s">
        <v>12</v>
      </c>
      <c r="E284" s="7" t="s">
        <v>12</v>
      </c>
      <c r="F284" s="7" t="s">
        <v>14</v>
      </c>
      <c r="G284" s="7" t="n">
        <v>62</v>
      </c>
      <c r="H284" s="8" t="n">
        <v>241.73</v>
      </c>
      <c r="I284" s="8" t="n">
        <v>136.11</v>
      </c>
      <c r="J284" s="8" t="n">
        <v>12.341</v>
      </c>
    </row>
    <row r="285" customFormat="false" ht="15" hidden="false" customHeight="false" outlineLevel="0" collapsed="false">
      <c r="A285" s="9" t="n">
        <v>10</v>
      </c>
      <c r="B285" s="9" t="s">
        <v>22</v>
      </c>
      <c r="C285" s="10" t="s">
        <v>14</v>
      </c>
      <c r="D285" s="10" t="s">
        <v>12</v>
      </c>
      <c r="E285" s="10" t="s">
        <v>12</v>
      </c>
      <c r="F285" s="10" t="s">
        <v>14</v>
      </c>
      <c r="G285" s="10" t="n">
        <v>63</v>
      </c>
      <c r="H285" s="11" t="n">
        <v>249.36</v>
      </c>
      <c r="I285" s="11" t="n">
        <v>141.17</v>
      </c>
      <c r="J285" s="11" t="n">
        <v>12.296</v>
      </c>
    </row>
    <row r="286" customFormat="false" ht="15" hidden="false" customHeight="false" outlineLevel="0" collapsed="false">
      <c r="A286" s="6" t="n">
        <v>10</v>
      </c>
      <c r="B286" s="6" t="s">
        <v>22</v>
      </c>
      <c r="C286" s="7" t="s">
        <v>14</v>
      </c>
      <c r="D286" s="7" t="s">
        <v>12</v>
      </c>
      <c r="E286" s="7" t="s">
        <v>12</v>
      </c>
      <c r="F286" s="7" t="s">
        <v>14</v>
      </c>
      <c r="G286" s="7" t="n">
        <v>64</v>
      </c>
      <c r="H286" s="8" t="n">
        <v>265.65</v>
      </c>
      <c r="I286" s="8" t="n">
        <v>140.77</v>
      </c>
      <c r="J286" s="8" t="n">
        <v>12.348</v>
      </c>
    </row>
    <row r="287" customFormat="false" ht="15" hidden="false" customHeight="false" outlineLevel="0" collapsed="false">
      <c r="A287" s="9" t="n">
        <v>10</v>
      </c>
      <c r="B287" s="9" t="s">
        <v>22</v>
      </c>
      <c r="C287" s="10" t="s">
        <v>14</v>
      </c>
      <c r="D287" s="10" t="s">
        <v>12</v>
      </c>
      <c r="E287" s="10" t="s">
        <v>12</v>
      </c>
      <c r="F287" s="10" t="s">
        <v>14</v>
      </c>
      <c r="G287" s="10" t="n">
        <v>65</v>
      </c>
      <c r="H287" s="11" t="n">
        <v>180.15</v>
      </c>
      <c r="I287" s="11" t="n">
        <v>104.77</v>
      </c>
      <c r="J287" s="11" t="n">
        <v>12.349</v>
      </c>
    </row>
    <row r="288" customFormat="false" ht="15" hidden="false" customHeight="false" outlineLevel="0" collapsed="false">
      <c r="A288" s="6" t="n">
        <v>10</v>
      </c>
      <c r="B288" s="6" t="s">
        <v>22</v>
      </c>
      <c r="C288" s="7" t="s">
        <v>14</v>
      </c>
      <c r="D288" s="7" t="s">
        <v>12</v>
      </c>
      <c r="E288" s="7" t="s">
        <v>12</v>
      </c>
      <c r="F288" s="7" t="s">
        <v>14</v>
      </c>
      <c r="G288" s="7" t="n">
        <v>66</v>
      </c>
      <c r="H288" s="8" t="n">
        <v>273.66</v>
      </c>
      <c r="I288" s="8" t="n">
        <v>147.88</v>
      </c>
      <c r="J288" s="8" t="n">
        <v>12.346</v>
      </c>
    </row>
    <row r="289" customFormat="false" ht="15" hidden="false" customHeight="false" outlineLevel="0" collapsed="false">
      <c r="A289" s="9" t="n">
        <v>10</v>
      </c>
      <c r="B289" s="9" t="s">
        <v>22</v>
      </c>
      <c r="C289" s="10" t="s">
        <v>14</v>
      </c>
      <c r="D289" s="10" t="s">
        <v>12</v>
      </c>
      <c r="E289" s="10" t="s">
        <v>12</v>
      </c>
      <c r="F289" s="10" t="s">
        <v>14</v>
      </c>
      <c r="G289" s="10" t="n">
        <v>67</v>
      </c>
      <c r="H289" s="11" t="n">
        <v>228.4</v>
      </c>
      <c r="I289" s="11" t="n">
        <v>134.16</v>
      </c>
      <c r="J289" s="11" t="n">
        <v>12.342</v>
      </c>
    </row>
    <row r="290" customFormat="false" ht="15" hidden="false" customHeight="false" outlineLevel="0" collapsed="false">
      <c r="A290" s="6" t="n">
        <v>10</v>
      </c>
      <c r="B290" s="6" t="s">
        <v>22</v>
      </c>
      <c r="C290" s="7" t="s">
        <v>14</v>
      </c>
      <c r="D290" s="7" t="s">
        <v>12</v>
      </c>
      <c r="E290" s="7" t="s">
        <v>12</v>
      </c>
      <c r="F290" s="7" t="s">
        <v>14</v>
      </c>
      <c r="G290" s="7" t="n">
        <v>68</v>
      </c>
      <c r="H290" s="8" t="n">
        <v>163.59</v>
      </c>
      <c r="I290" s="8" t="n">
        <v>103.92</v>
      </c>
      <c r="J290" s="8" t="n">
        <v>12.352</v>
      </c>
    </row>
    <row r="291" customFormat="false" ht="15" hidden="false" customHeight="false" outlineLevel="0" collapsed="false">
      <c r="A291" s="9" t="n">
        <v>10</v>
      </c>
      <c r="B291" s="9" t="s">
        <v>22</v>
      </c>
      <c r="C291" s="10" t="s">
        <v>14</v>
      </c>
      <c r="D291" s="10" t="s">
        <v>12</v>
      </c>
      <c r="E291" s="10" t="s">
        <v>12</v>
      </c>
      <c r="F291" s="10" t="s">
        <v>14</v>
      </c>
      <c r="G291" s="10" t="n">
        <v>69</v>
      </c>
      <c r="H291" s="11" t="n">
        <v>282.93</v>
      </c>
      <c r="I291" s="11" t="n">
        <v>152.47</v>
      </c>
      <c r="J291" s="11" t="n">
        <v>12.375</v>
      </c>
    </row>
    <row r="292" customFormat="false" ht="15" hidden="false" customHeight="false" outlineLevel="0" collapsed="false">
      <c r="A292" s="6" t="n">
        <v>10</v>
      </c>
      <c r="B292" s="6" t="s">
        <v>22</v>
      </c>
      <c r="C292" s="7" t="s">
        <v>14</v>
      </c>
      <c r="D292" s="7" t="s">
        <v>12</v>
      </c>
      <c r="E292" s="7" t="s">
        <v>12</v>
      </c>
      <c r="F292" s="7" t="s">
        <v>14</v>
      </c>
      <c r="G292" s="7" t="n">
        <v>70</v>
      </c>
      <c r="H292" s="8" t="n">
        <v>150.57</v>
      </c>
      <c r="I292" s="8" t="n">
        <v>95.3</v>
      </c>
      <c r="J292" s="8" t="n">
        <v>12.354</v>
      </c>
    </row>
    <row r="293" customFormat="false" ht="15" hidden="false" customHeight="false" outlineLevel="0" collapsed="false">
      <c r="A293" s="9" t="n">
        <v>10</v>
      </c>
      <c r="B293" s="9" t="s">
        <v>22</v>
      </c>
      <c r="C293" s="10" t="s">
        <v>14</v>
      </c>
      <c r="D293" s="10" t="s">
        <v>12</v>
      </c>
      <c r="E293" s="10" t="s">
        <v>12</v>
      </c>
      <c r="F293" s="10" t="s">
        <v>14</v>
      </c>
      <c r="G293" s="10" t="n">
        <v>71</v>
      </c>
      <c r="H293" s="11" t="n">
        <v>206.83</v>
      </c>
      <c r="I293" s="11" t="n">
        <v>121.93</v>
      </c>
      <c r="J293" s="11" t="n">
        <v>12.319</v>
      </c>
    </row>
    <row r="294" customFormat="false" ht="15" hidden="false" customHeight="false" outlineLevel="0" collapsed="false">
      <c r="A294" s="6" t="n">
        <v>10</v>
      </c>
      <c r="B294" s="6" t="s">
        <v>22</v>
      </c>
      <c r="C294" s="7" t="s">
        <v>14</v>
      </c>
      <c r="D294" s="7" t="s">
        <v>12</v>
      </c>
      <c r="E294" s="7" t="s">
        <v>12</v>
      </c>
      <c r="F294" s="7" t="s">
        <v>14</v>
      </c>
      <c r="G294" s="7" t="n">
        <v>72</v>
      </c>
      <c r="H294" s="8" t="n">
        <v>256.58</v>
      </c>
      <c r="I294" s="8" t="n">
        <v>136.98</v>
      </c>
      <c r="J294" s="8" t="n">
        <v>12.342</v>
      </c>
    </row>
    <row r="295" customFormat="false" ht="15" hidden="false" customHeight="false" outlineLevel="0" collapsed="false">
      <c r="A295" s="9" t="n">
        <v>10</v>
      </c>
      <c r="B295" s="9" t="s">
        <v>22</v>
      </c>
      <c r="C295" s="10" t="s">
        <v>14</v>
      </c>
      <c r="D295" s="10" t="s">
        <v>12</v>
      </c>
      <c r="E295" s="10" t="s">
        <v>12</v>
      </c>
      <c r="F295" s="10" t="s">
        <v>14</v>
      </c>
      <c r="G295" s="10" t="n">
        <v>73</v>
      </c>
      <c r="H295" s="11" t="n">
        <v>283.61</v>
      </c>
      <c r="I295" s="11" t="n">
        <v>148.4</v>
      </c>
      <c r="J295" s="11" t="n">
        <v>12.348</v>
      </c>
    </row>
    <row r="296" customFormat="false" ht="15" hidden="false" customHeight="false" outlineLevel="0" collapsed="false">
      <c r="A296" s="6" t="n">
        <v>10</v>
      </c>
      <c r="B296" s="6" t="s">
        <v>22</v>
      </c>
      <c r="C296" s="7" t="s">
        <v>14</v>
      </c>
      <c r="D296" s="7" t="s">
        <v>12</v>
      </c>
      <c r="E296" s="7" t="s">
        <v>12</v>
      </c>
      <c r="F296" s="7" t="s">
        <v>14</v>
      </c>
      <c r="G296" s="7" t="n">
        <v>74</v>
      </c>
      <c r="H296" s="8" t="n">
        <v>256.7</v>
      </c>
      <c r="I296" s="8" t="n">
        <v>145.51</v>
      </c>
      <c r="J296" s="8" t="n">
        <v>12.297</v>
      </c>
    </row>
    <row r="297" customFormat="false" ht="15" hidden="false" customHeight="false" outlineLevel="0" collapsed="false">
      <c r="A297" s="9" t="n">
        <v>10</v>
      </c>
      <c r="B297" s="9" t="s">
        <v>22</v>
      </c>
      <c r="C297" s="10" t="s">
        <v>14</v>
      </c>
      <c r="D297" s="10" t="s">
        <v>12</v>
      </c>
      <c r="E297" s="10" t="s">
        <v>12</v>
      </c>
      <c r="F297" s="10" t="s">
        <v>14</v>
      </c>
      <c r="G297" s="10" t="n">
        <v>75</v>
      </c>
      <c r="H297" s="11" t="n">
        <v>184.54</v>
      </c>
      <c r="I297" s="11" t="n">
        <v>108.96</v>
      </c>
      <c r="J297" s="11" t="n">
        <v>12.335</v>
      </c>
    </row>
    <row r="298" customFormat="false" ht="15" hidden="false" customHeight="false" outlineLevel="0" collapsed="false">
      <c r="A298" s="6" t="n">
        <v>10</v>
      </c>
      <c r="B298" s="6" t="s">
        <v>22</v>
      </c>
      <c r="C298" s="7" t="s">
        <v>14</v>
      </c>
      <c r="D298" s="7" t="s">
        <v>12</v>
      </c>
      <c r="E298" s="7" t="s">
        <v>12</v>
      </c>
      <c r="F298" s="7" t="s">
        <v>14</v>
      </c>
      <c r="G298" s="7" t="n">
        <v>76</v>
      </c>
      <c r="H298" s="8" t="n">
        <v>233.14</v>
      </c>
      <c r="I298" s="8" t="n">
        <v>135.31</v>
      </c>
      <c r="J298" s="8" t="n">
        <v>12.353</v>
      </c>
    </row>
    <row r="299" customFormat="false" ht="15" hidden="false" customHeight="false" outlineLevel="0" collapsed="false">
      <c r="A299" s="3" t="n">
        <v>11</v>
      </c>
      <c r="B299" s="3" t="s">
        <v>23</v>
      </c>
      <c r="C299" s="4" t="s">
        <v>12</v>
      </c>
      <c r="D299" s="4" t="s">
        <v>14</v>
      </c>
      <c r="E299" s="4" t="s">
        <v>12</v>
      </c>
      <c r="F299" s="4" t="s">
        <v>14</v>
      </c>
      <c r="G299" s="4" t="n">
        <v>1</v>
      </c>
      <c r="H299" s="5" t="n">
        <v>307.96</v>
      </c>
      <c r="I299" s="5" t="n">
        <v>113.78</v>
      </c>
      <c r="J299" s="5" t="n">
        <v>12.573</v>
      </c>
    </row>
    <row r="300" customFormat="false" ht="15" hidden="false" customHeight="false" outlineLevel="0" collapsed="false">
      <c r="A300" s="6" t="n">
        <v>11</v>
      </c>
      <c r="B300" s="6" t="s">
        <v>23</v>
      </c>
      <c r="C300" s="7" t="s">
        <v>12</v>
      </c>
      <c r="D300" s="7" t="s">
        <v>14</v>
      </c>
      <c r="E300" s="7" t="s">
        <v>12</v>
      </c>
      <c r="F300" s="7" t="s">
        <v>14</v>
      </c>
      <c r="G300" s="7" t="n">
        <v>2</v>
      </c>
      <c r="H300" s="8" t="n">
        <v>305.11</v>
      </c>
      <c r="I300" s="8" t="n">
        <v>106.8</v>
      </c>
      <c r="J300" s="8" t="n">
        <v>12.654</v>
      </c>
    </row>
    <row r="301" customFormat="false" ht="15" hidden="false" customHeight="false" outlineLevel="0" collapsed="false">
      <c r="A301" s="3" t="n">
        <v>11</v>
      </c>
      <c r="B301" s="3" t="s">
        <v>23</v>
      </c>
      <c r="C301" s="4" t="s">
        <v>12</v>
      </c>
      <c r="D301" s="4" t="s">
        <v>14</v>
      </c>
      <c r="E301" s="4" t="s">
        <v>12</v>
      </c>
      <c r="F301" s="4" t="s">
        <v>14</v>
      </c>
      <c r="G301" s="4" t="n">
        <v>3</v>
      </c>
      <c r="H301" s="5" t="n">
        <v>337.98</v>
      </c>
      <c r="I301" s="5" t="n">
        <v>114.82</v>
      </c>
      <c r="J301" s="5" t="n">
        <v>12.587</v>
      </c>
    </row>
    <row r="302" customFormat="false" ht="15" hidden="false" customHeight="false" outlineLevel="0" collapsed="false">
      <c r="A302" s="6" t="n">
        <v>11</v>
      </c>
      <c r="B302" s="6" t="s">
        <v>23</v>
      </c>
      <c r="C302" s="7" t="s">
        <v>12</v>
      </c>
      <c r="D302" s="7" t="s">
        <v>14</v>
      </c>
      <c r="E302" s="7" t="s">
        <v>12</v>
      </c>
      <c r="F302" s="7" t="s">
        <v>14</v>
      </c>
      <c r="G302" s="7" t="n">
        <v>4</v>
      </c>
      <c r="H302" s="8" t="n">
        <v>316.7</v>
      </c>
      <c r="I302" s="8" t="n">
        <v>110.17</v>
      </c>
      <c r="J302" s="8" t="n">
        <v>12.571</v>
      </c>
    </row>
    <row r="303" customFormat="false" ht="15" hidden="false" customHeight="false" outlineLevel="0" collapsed="false">
      <c r="A303" s="3" t="n">
        <v>11</v>
      </c>
      <c r="B303" s="3" t="s">
        <v>23</v>
      </c>
      <c r="C303" s="4" t="s">
        <v>12</v>
      </c>
      <c r="D303" s="4" t="s">
        <v>14</v>
      </c>
      <c r="E303" s="4" t="s">
        <v>12</v>
      </c>
      <c r="F303" s="4" t="s">
        <v>14</v>
      </c>
      <c r="G303" s="4" t="n">
        <v>5</v>
      </c>
      <c r="H303" s="5" t="n">
        <v>309.37</v>
      </c>
      <c r="I303" s="5" t="n">
        <v>106.43</v>
      </c>
      <c r="J303" s="5" t="n">
        <v>12.653</v>
      </c>
    </row>
    <row r="304" customFormat="false" ht="15" hidden="false" customHeight="false" outlineLevel="0" collapsed="false">
      <c r="A304" s="6" t="n">
        <v>11</v>
      </c>
      <c r="B304" s="6" t="s">
        <v>23</v>
      </c>
      <c r="C304" s="7" t="s">
        <v>12</v>
      </c>
      <c r="D304" s="7" t="s">
        <v>14</v>
      </c>
      <c r="E304" s="7" t="s">
        <v>12</v>
      </c>
      <c r="F304" s="7" t="s">
        <v>14</v>
      </c>
      <c r="G304" s="7" t="n">
        <v>6</v>
      </c>
      <c r="H304" s="8" t="n">
        <v>306.57</v>
      </c>
      <c r="I304" s="8" t="n">
        <v>109.79</v>
      </c>
      <c r="J304" s="8" t="n">
        <v>12.569</v>
      </c>
    </row>
    <row r="305" customFormat="false" ht="15" hidden="false" customHeight="false" outlineLevel="0" collapsed="false">
      <c r="A305" s="3" t="n">
        <v>11</v>
      </c>
      <c r="B305" s="3" t="s">
        <v>23</v>
      </c>
      <c r="C305" s="4" t="s">
        <v>12</v>
      </c>
      <c r="D305" s="4" t="s">
        <v>14</v>
      </c>
      <c r="E305" s="4" t="s">
        <v>12</v>
      </c>
      <c r="F305" s="4" t="s">
        <v>14</v>
      </c>
      <c r="G305" s="4" t="n">
        <v>7</v>
      </c>
      <c r="H305" s="5" t="n">
        <v>302.1</v>
      </c>
      <c r="I305" s="5" t="n">
        <v>107.81</v>
      </c>
      <c r="J305" s="5" t="n">
        <v>12.632</v>
      </c>
    </row>
    <row r="306" customFormat="false" ht="15" hidden="false" customHeight="false" outlineLevel="0" collapsed="false">
      <c r="A306" s="6" t="n">
        <v>11</v>
      </c>
      <c r="B306" s="6" t="s">
        <v>23</v>
      </c>
      <c r="C306" s="7" t="s">
        <v>12</v>
      </c>
      <c r="D306" s="7" t="s">
        <v>14</v>
      </c>
      <c r="E306" s="7" t="s">
        <v>12</v>
      </c>
      <c r="F306" s="7" t="s">
        <v>14</v>
      </c>
      <c r="G306" s="7" t="n">
        <v>8</v>
      </c>
      <c r="H306" s="8" t="n">
        <v>246.17</v>
      </c>
      <c r="I306" s="8" t="n">
        <v>89.42</v>
      </c>
      <c r="J306" s="8" t="n">
        <v>12.611</v>
      </c>
    </row>
    <row r="307" customFormat="false" ht="15" hidden="false" customHeight="false" outlineLevel="0" collapsed="false">
      <c r="A307" s="3" t="n">
        <v>11</v>
      </c>
      <c r="B307" s="3" t="s">
        <v>23</v>
      </c>
      <c r="C307" s="4" t="s">
        <v>12</v>
      </c>
      <c r="D307" s="4" t="s">
        <v>14</v>
      </c>
      <c r="E307" s="4" t="s">
        <v>12</v>
      </c>
      <c r="F307" s="4" t="s">
        <v>14</v>
      </c>
      <c r="G307" s="4" t="n">
        <v>9</v>
      </c>
      <c r="H307" s="5" t="n">
        <v>311.91</v>
      </c>
      <c r="I307" s="5" t="n">
        <v>107.71</v>
      </c>
      <c r="J307" s="5" t="n">
        <v>12.517</v>
      </c>
    </row>
    <row r="308" customFormat="false" ht="15" hidden="false" customHeight="false" outlineLevel="0" collapsed="false">
      <c r="A308" s="6" t="n">
        <v>11</v>
      </c>
      <c r="B308" s="6" t="s">
        <v>23</v>
      </c>
      <c r="C308" s="7" t="s">
        <v>12</v>
      </c>
      <c r="D308" s="7" t="s">
        <v>14</v>
      </c>
      <c r="E308" s="7" t="s">
        <v>12</v>
      </c>
      <c r="F308" s="7" t="s">
        <v>14</v>
      </c>
      <c r="G308" s="7" t="n">
        <v>10</v>
      </c>
      <c r="H308" s="8" t="n">
        <v>308.25</v>
      </c>
      <c r="I308" s="8" t="n">
        <v>105.72</v>
      </c>
      <c r="J308" s="8" t="n">
        <v>12.663</v>
      </c>
    </row>
    <row r="309" customFormat="false" ht="15" hidden="false" customHeight="false" outlineLevel="0" collapsed="false">
      <c r="A309" s="3" t="n">
        <v>11</v>
      </c>
      <c r="B309" s="3" t="s">
        <v>23</v>
      </c>
      <c r="C309" s="4" t="s">
        <v>12</v>
      </c>
      <c r="D309" s="4" t="s">
        <v>14</v>
      </c>
      <c r="E309" s="4" t="s">
        <v>12</v>
      </c>
      <c r="F309" s="4" t="s">
        <v>14</v>
      </c>
      <c r="G309" s="4" t="n">
        <v>11</v>
      </c>
      <c r="H309" s="5" t="n">
        <v>287.95</v>
      </c>
      <c r="I309" s="5" t="n">
        <v>101.04</v>
      </c>
      <c r="J309" s="5" t="n">
        <v>12.48</v>
      </c>
    </row>
    <row r="310" customFormat="false" ht="15" hidden="false" customHeight="false" outlineLevel="0" collapsed="false">
      <c r="A310" s="6" t="n">
        <v>11</v>
      </c>
      <c r="B310" s="6" t="s">
        <v>23</v>
      </c>
      <c r="C310" s="7" t="s">
        <v>12</v>
      </c>
      <c r="D310" s="7" t="s">
        <v>14</v>
      </c>
      <c r="E310" s="7" t="s">
        <v>12</v>
      </c>
      <c r="F310" s="7" t="s">
        <v>14</v>
      </c>
      <c r="G310" s="7" t="n">
        <v>12</v>
      </c>
      <c r="H310" s="8" t="n">
        <v>272.87</v>
      </c>
      <c r="I310" s="8" t="n">
        <v>92.55</v>
      </c>
      <c r="J310" s="8" t="n">
        <v>12.673</v>
      </c>
    </row>
    <row r="311" customFormat="false" ht="15" hidden="false" customHeight="false" outlineLevel="0" collapsed="false">
      <c r="A311" s="3" t="n">
        <v>11</v>
      </c>
      <c r="B311" s="3" t="s">
        <v>23</v>
      </c>
      <c r="C311" s="4" t="s">
        <v>12</v>
      </c>
      <c r="D311" s="4" t="s">
        <v>14</v>
      </c>
      <c r="E311" s="4" t="s">
        <v>12</v>
      </c>
      <c r="F311" s="4" t="s">
        <v>14</v>
      </c>
      <c r="G311" s="4" t="n">
        <v>13</v>
      </c>
      <c r="H311" s="5" t="n">
        <v>339.09</v>
      </c>
      <c r="I311" s="5" t="n">
        <v>120.82</v>
      </c>
      <c r="J311" s="5" t="n">
        <v>12.558</v>
      </c>
    </row>
    <row r="312" customFormat="false" ht="15" hidden="false" customHeight="false" outlineLevel="0" collapsed="false">
      <c r="A312" s="6" t="n">
        <v>11</v>
      </c>
      <c r="B312" s="6" t="s">
        <v>23</v>
      </c>
      <c r="C312" s="7" t="s">
        <v>12</v>
      </c>
      <c r="D312" s="7" t="s">
        <v>14</v>
      </c>
      <c r="E312" s="7" t="s">
        <v>12</v>
      </c>
      <c r="F312" s="7" t="s">
        <v>14</v>
      </c>
      <c r="G312" s="7" t="n">
        <v>14</v>
      </c>
      <c r="H312" s="8" t="n">
        <v>304.38</v>
      </c>
      <c r="I312" s="8" t="n">
        <v>105.52</v>
      </c>
      <c r="J312" s="8" t="n">
        <v>12.573</v>
      </c>
    </row>
    <row r="313" customFormat="false" ht="15" hidden="false" customHeight="false" outlineLevel="0" collapsed="false">
      <c r="A313" s="3" t="n">
        <v>11</v>
      </c>
      <c r="B313" s="3" t="s">
        <v>23</v>
      </c>
      <c r="C313" s="4" t="s">
        <v>12</v>
      </c>
      <c r="D313" s="4" t="s">
        <v>14</v>
      </c>
      <c r="E313" s="4" t="s">
        <v>12</v>
      </c>
      <c r="F313" s="4" t="s">
        <v>14</v>
      </c>
      <c r="G313" s="4" t="n">
        <v>15</v>
      </c>
      <c r="H313" s="5" t="n">
        <v>310.49</v>
      </c>
      <c r="I313" s="5" t="n">
        <v>110.37</v>
      </c>
      <c r="J313" s="5" t="n">
        <v>12.588</v>
      </c>
    </row>
    <row r="314" customFormat="false" ht="15" hidden="false" customHeight="false" outlineLevel="0" collapsed="false">
      <c r="A314" s="9" t="n">
        <v>12</v>
      </c>
      <c r="B314" s="9" t="s">
        <v>24</v>
      </c>
      <c r="C314" s="10" t="s">
        <v>14</v>
      </c>
      <c r="D314" s="10" t="s">
        <v>14</v>
      </c>
      <c r="E314" s="10" t="s">
        <v>12</v>
      </c>
      <c r="F314" s="10" t="s">
        <v>14</v>
      </c>
      <c r="G314" s="10" t="n">
        <v>1</v>
      </c>
      <c r="H314" s="11" t="n">
        <v>161.71</v>
      </c>
      <c r="I314" s="11" t="n">
        <v>104</v>
      </c>
      <c r="J314" s="11" t="n">
        <v>12.344</v>
      </c>
    </row>
    <row r="315" customFormat="false" ht="15" hidden="false" customHeight="false" outlineLevel="0" collapsed="false">
      <c r="A315" s="6" t="n">
        <v>12</v>
      </c>
      <c r="B315" s="6" t="s">
        <v>24</v>
      </c>
      <c r="C315" s="7" t="s">
        <v>14</v>
      </c>
      <c r="D315" s="7" t="s">
        <v>14</v>
      </c>
      <c r="E315" s="7" t="s">
        <v>12</v>
      </c>
      <c r="F315" s="7" t="s">
        <v>14</v>
      </c>
      <c r="G315" s="7" t="n">
        <v>2</v>
      </c>
      <c r="H315" s="8" t="n">
        <v>259.51</v>
      </c>
      <c r="I315" s="8" t="n">
        <v>145.88</v>
      </c>
      <c r="J315" s="8" t="n">
        <v>12.332</v>
      </c>
    </row>
    <row r="316" customFormat="false" ht="15" hidden="false" customHeight="false" outlineLevel="0" collapsed="false">
      <c r="A316" s="9" t="n">
        <v>12</v>
      </c>
      <c r="B316" s="9" t="s">
        <v>24</v>
      </c>
      <c r="C316" s="10" t="s">
        <v>14</v>
      </c>
      <c r="D316" s="10" t="s">
        <v>14</v>
      </c>
      <c r="E316" s="10" t="s">
        <v>12</v>
      </c>
      <c r="F316" s="10" t="s">
        <v>14</v>
      </c>
      <c r="G316" s="10" t="n">
        <v>3</v>
      </c>
      <c r="H316" s="11" t="n">
        <v>155.9</v>
      </c>
      <c r="I316" s="11" t="n">
        <v>97.18</v>
      </c>
      <c r="J316" s="11" t="n">
        <v>12.35</v>
      </c>
    </row>
    <row r="317" customFormat="false" ht="15" hidden="false" customHeight="false" outlineLevel="0" collapsed="false">
      <c r="A317" s="6" t="n">
        <v>12</v>
      </c>
      <c r="B317" s="6" t="s">
        <v>24</v>
      </c>
      <c r="C317" s="7" t="s">
        <v>14</v>
      </c>
      <c r="D317" s="7" t="s">
        <v>14</v>
      </c>
      <c r="E317" s="7" t="s">
        <v>12</v>
      </c>
      <c r="F317" s="7" t="s">
        <v>14</v>
      </c>
      <c r="G317" s="7" t="n">
        <v>4</v>
      </c>
      <c r="H317" s="8" t="n">
        <v>291.59</v>
      </c>
      <c r="I317" s="8" t="n">
        <v>157.86</v>
      </c>
      <c r="J317" s="8" t="n">
        <v>12.35</v>
      </c>
    </row>
    <row r="318" customFormat="false" ht="15" hidden="false" customHeight="false" outlineLevel="0" collapsed="false">
      <c r="A318" s="9" t="n">
        <v>12</v>
      </c>
      <c r="B318" s="9" t="s">
        <v>24</v>
      </c>
      <c r="C318" s="10" t="s">
        <v>14</v>
      </c>
      <c r="D318" s="10" t="s">
        <v>14</v>
      </c>
      <c r="E318" s="10" t="s">
        <v>12</v>
      </c>
      <c r="F318" s="10" t="s">
        <v>14</v>
      </c>
      <c r="G318" s="10" t="n">
        <v>5</v>
      </c>
      <c r="H318" s="11" t="n">
        <v>201.07</v>
      </c>
      <c r="I318" s="11" t="n">
        <v>123.18</v>
      </c>
      <c r="J318" s="11" t="n">
        <v>12.349</v>
      </c>
    </row>
    <row r="319" customFormat="false" ht="15" hidden="false" customHeight="false" outlineLevel="0" collapsed="false">
      <c r="A319" s="6" t="n">
        <v>12</v>
      </c>
      <c r="B319" s="6" t="s">
        <v>24</v>
      </c>
      <c r="C319" s="7" t="s">
        <v>14</v>
      </c>
      <c r="D319" s="7" t="s">
        <v>14</v>
      </c>
      <c r="E319" s="7" t="s">
        <v>12</v>
      </c>
      <c r="F319" s="7" t="s">
        <v>14</v>
      </c>
      <c r="G319" s="7" t="n">
        <v>6</v>
      </c>
      <c r="H319" s="8" t="n">
        <v>257.18</v>
      </c>
      <c r="I319" s="8" t="n">
        <v>143.67</v>
      </c>
      <c r="J319" s="8" t="n">
        <v>12.342</v>
      </c>
    </row>
    <row r="320" customFormat="false" ht="15" hidden="false" customHeight="false" outlineLevel="0" collapsed="false">
      <c r="A320" s="9" t="n">
        <v>12</v>
      </c>
      <c r="B320" s="9" t="s">
        <v>24</v>
      </c>
      <c r="C320" s="10" t="s">
        <v>14</v>
      </c>
      <c r="D320" s="10" t="s">
        <v>14</v>
      </c>
      <c r="E320" s="10" t="s">
        <v>12</v>
      </c>
      <c r="F320" s="10" t="s">
        <v>14</v>
      </c>
      <c r="G320" s="10" t="n">
        <v>7</v>
      </c>
      <c r="H320" s="11" t="n">
        <v>271.14</v>
      </c>
      <c r="I320" s="11" t="n">
        <v>148.46</v>
      </c>
      <c r="J320" s="11" t="n">
        <v>12.409</v>
      </c>
    </row>
    <row r="321" customFormat="false" ht="15" hidden="false" customHeight="false" outlineLevel="0" collapsed="false">
      <c r="A321" s="6" t="n">
        <v>12</v>
      </c>
      <c r="B321" s="6" t="s">
        <v>24</v>
      </c>
      <c r="C321" s="7" t="s">
        <v>14</v>
      </c>
      <c r="D321" s="7" t="s">
        <v>14</v>
      </c>
      <c r="E321" s="7" t="s">
        <v>12</v>
      </c>
      <c r="F321" s="7" t="s">
        <v>14</v>
      </c>
      <c r="G321" s="7" t="n">
        <v>8</v>
      </c>
      <c r="H321" s="8" t="n">
        <v>278.58</v>
      </c>
      <c r="I321" s="8" t="n">
        <v>151.6</v>
      </c>
      <c r="J321" s="8" t="n">
        <v>12.331</v>
      </c>
    </row>
    <row r="322" customFormat="false" ht="15" hidden="false" customHeight="false" outlineLevel="0" collapsed="false">
      <c r="A322" s="9" t="n">
        <v>12</v>
      </c>
      <c r="B322" s="9" t="s">
        <v>24</v>
      </c>
      <c r="C322" s="10" t="s">
        <v>14</v>
      </c>
      <c r="D322" s="10" t="s">
        <v>14</v>
      </c>
      <c r="E322" s="10" t="s">
        <v>12</v>
      </c>
      <c r="F322" s="10" t="s">
        <v>14</v>
      </c>
      <c r="G322" s="10" t="n">
        <v>9</v>
      </c>
      <c r="H322" s="11" t="n">
        <v>240.48</v>
      </c>
      <c r="I322" s="11" t="n">
        <v>134.9</v>
      </c>
      <c r="J322" s="11" t="n">
        <v>12.308</v>
      </c>
    </row>
    <row r="323" customFormat="false" ht="15" hidden="false" customHeight="false" outlineLevel="0" collapsed="false">
      <c r="A323" s="6" t="n">
        <v>12</v>
      </c>
      <c r="B323" s="6" t="s">
        <v>24</v>
      </c>
      <c r="C323" s="7" t="s">
        <v>14</v>
      </c>
      <c r="D323" s="7" t="s">
        <v>14</v>
      </c>
      <c r="E323" s="7" t="s">
        <v>12</v>
      </c>
      <c r="F323" s="7" t="s">
        <v>14</v>
      </c>
      <c r="G323" s="7" t="n">
        <v>10</v>
      </c>
      <c r="H323" s="8" t="n">
        <v>172.47</v>
      </c>
      <c r="I323" s="8" t="n">
        <v>115.04</v>
      </c>
      <c r="J323" s="8" t="n">
        <v>12.368</v>
      </c>
    </row>
    <row r="324" customFormat="false" ht="15" hidden="false" customHeight="false" outlineLevel="0" collapsed="false">
      <c r="A324" s="9" t="n">
        <v>12</v>
      </c>
      <c r="B324" s="9" t="s">
        <v>24</v>
      </c>
      <c r="C324" s="10" t="s">
        <v>14</v>
      </c>
      <c r="D324" s="10" t="s">
        <v>14</v>
      </c>
      <c r="E324" s="10" t="s">
        <v>12</v>
      </c>
      <c r="F324" s="10" t="s">
        <v>14</v>
      </c>
      <c r="G324" s="10" t="n">
        <v>11</v>
      </c>
      <c r="H324" s="11" t="n">
        <v>214.21</v>
      </c>
      <c r="I324" s="11" t="n">
        <v>134.1</v>
      </c>
      <c r="J324" s="11" t="n">
        <v>12.328</v>
      </c>
    </row>
    <row r="325" customFormat="false" ht="15" hidden="false" customHeight="false" outlineLevel="0" collapsed="false">
      <c r="A325" s="6" t="n">
        <v>12</v>
      </c>
      <c r="B325" s="6" t="s">
        <v>24</v>
      </c>
      <c r="C325" s="7" t="s">
        <v>14</v>
      </c>
      <c r="D325" s="7" t="s">
        <v>14</v>
      </c>
      <c r="E325" s="7" t="s">
        <v>12</v>
      </c>
      <c r="F325" s="7" t="s">
        <v>14</v>
      </c>
      <c r="G325" s="7" t="n">
        <v>12</v>
      </c>
      <c r="H325" s="8" t="n">
        <v>254.16</v>
      </c>
      <c r="I325" s="8" t="n">
        <v>141.8</v>
      </c>
      <c r="J325" s="8" t="n">
        <v>12.347</v>
      </c>
    </row>
    <row r="326" customFormat="false" ht="15" hidden="false" customHeight="false" outlineLevel="0" collapsed="false">
      <c r="A326" s="9" t="n">
        <v>12</v>
      </c>
      <c r="B326" s="9" t="s">
        <v>24</v>
      </c>
      <c r="C326" s="10" t="s">
        <v>14</v>
      </c>
      <c r="D326" s="10" t="s">
        <v>14</v>
      </c>
      <c r="E326" s="10" t="s">
        <v>12</v>
      </c>
      <c r="F326" s="10" t="s">
        <v>14</v>
      </c>
      <c r="G326" s="10" t="n">
        <v>13</v>
      </c>
      <c r="H326" s="11" t="n">
        <v>272.36</v>
      </c>
      <c r="I326" s="11" t="n">
        <v>147.2</v>
      </c>
      <c r="J326" s="11" t="n">
        <v>12.342</v>
      </c>
    </row>
    <row r="327" customFormat="false" ht="15" hidden="false" customHeight="false" outlineLevel="0" collapsed="false">
      <c r="A327" s="6" t="n">
        <v>12</v>
      </c>
      <c r="B327" s="6" t="s">
        <v>24</v>
      </c>
      <c r="C327" s="7" t="s">
        <v>14</v>
      </c>
      <c r="D327" s="7" t="s">
        <v>14</v>
      </c>
      <c r="E327" s="7" t="s">
        <v>12</v>
      </c>
      <c r="F327" s="7" t="s">
        <v>14</v>
      </c>
      <c r="G327" s="7" t="n">
        <v>14</v>
      </c>
      <c r="H327" s="8" t="n">
        <v>214.1</v>
      </c>
      <c r="I327" s="8" t="n">
        <v>122.65</v>
      </c>
      <c r="J327" s="8" t="n">
        <v>12.376</v>
      </c>
    </row>
    <row r="328" customFormat="false" ht="15" hidden="false" customHeight="false" outlineLevel="0" collapsed="false">
      <c r="A328" s="9" t="n">
        <v>12</v>
      </c>
      <c r="B328" s="9" t="s">
        <v>24</v>
      </c>
      <c r="C328" s="10" t="s">
        <v>14</v>
      </c>
      <c r="D328" s="10" t="s">
        <v>14</v>
      </c>
      <c r="E328" s="10" t="s">
        <v>12</v>
      </c>
      <c r="F328" s="10" t="s">
        <v>14</v>
      </c>
      <c r="G328" s="10" t="n">
        <v>15</v>
      </c>
      <c r="H328" s="11" t="n">
        <v>273.75</v>
      </c>
      <c r="I328" s="11" t="n">
        <v>150.43</v>
      </c>
      <c r="J328" s="11" t="n">
        <v>12.356</v>
      </c>
    </row>
    <row r="329" customFormat="false" ht="15" hidden="false" customHeight="false" outlineLevel="0" collapsed="false">
      <c r="A329" s="6" t="n">
        <v>12</v>
      </c>
      <c r="B329" s="6" t="s">
        <v>24</v>
      </c>
      <c r="C329" s="7" t="s">
        <v>14</v>
      </c>
      <c r="D329" s="7" t="s">
        <v>14</v>
      </c>
      <c r="E329" s="7" t="s">
        <v>12</v>
      </c>
      <c r="F329" s="7" t="s">
        <v>14</v>
      </c>
      <c r="G329" s="7" t="n">
        <v>16</v>
      </c>
      <c r="H329" s="8" t="n">
        <v>236.95</v>
      </c>
      <c r="I329" s="8" t="n">
        <v>145.95</v>
      </c>
      <c r="J329" s="8" t="n">
        <v>12.323</v>
      </c>
    </row>
    <row r="330" customFormat="false" ht="15" hidden="false" customHeight="false" outlineLevel="0" collapsed="false">
      <c r="A330" s="9" t="n">
        <v>12</v>
      </c>
      <c r="B330" s="9" t="s">
        <v>24</v>
      </c>
      <c r="C330" s="10" t="s">
        <v>14</v>
      </c>
      <c r="D330" s="10" t="s">
        <v>14</v>
      </c>
      <c r="E330" s="10" t="s">
        <v>12</v>
      </c>
      <c r="F330" s="10" t="s">
        <v>14</v>
      </c>
      <c r="G330" s="10" t="n">
        <v>17</v>
      </c>
      <c r="H330" s="11" t="n">
        <v>275.74</v>
      </c>
      <c r="I330" s="11" t="n">
        <v>148.45</v>
      </c>
      <c r="J330" s="11" t="n">
        <v>12.348</v>
      </c>
    </row>
    <row r="331" customFormat="false" ht="15" hidden="false" customHeight="false" outlineLevel="0" collapsed="false">
      <c r="A331" s="6" t="n">
        <v>12</v>
      </c>
      <c r="B331" s="6" t="s">
        <v>24</v>
      </c>
      <c r="C331" s="7" t="s">
        <v>14</v>
      </c>
      <c r="D331" s="7" t="s">
        <v>14</v>
      </c>
      <c r="E331" s="7" t="s">
        <v>12</v>
      </c>
      <c r="F331" s="7" t="s">
        <v>14</v>
      </c>
      <c r="G331" s="7" t="n">
        <v>18</v>
      </c>
      <c r="H331" s="8" t="n">
        <v>262.92</v>
      </c>
      <c r="I331" s="8" t="n">
        <v>148.2</v>
      </c>
      <c r="J331" s="8" t="n">
        <v>12.314</v>
      </c>
    </row>
    <row r="332" customFormat="false" ht="15" hidden="false" customHeight="false" outlineLevel="0" collapsed="false">
      <c r="A332" s="9" t="n">
        <v>12</v>
      </c>
      <c r="B332" s="9" t="s">
        <v>24</v>
      </c>
      <c r="C332" s="10" t="s">
        <v>14</v>
      </c>
      <c r="D332" s="10" t="s">
        <v>14</v>
      </c>
      <c r="E332" s="10" t="s">
        <v>12</v>
      </c>
      <c r="F332" s="10" t="s">
        <v>14</v>
      </c>
      <c r="G332" s="10" t="n">
        <v>19</v>
      </c>
      <c r="H332" s="11" t="n">
        <v>193.33</v>
      </c>
      <c r="I332" s="11" t="n">
        <v>122.28</v>
      </c>
      <c r="J332" s="11" t="n">
        <v>12.327</v>
      </c>
    </row>
    <row r="333" customFormat="false" ht="15" hidden="false" customHeight="false" outlineLevel="0" collapsed="false">
      <c r="A333" s="6" t="n">
        <v>12</v>
      </c>
      <c r="B333" s="6" t="s">
        <v>24</v>
      </c>
      <c r="C333" s="7" t="s">
        <v>14</v>
      </c>
      <c r="D333" s="7" t="s">
        <v>14</v>
      </c>
      <c r="E333" s="7" t="s">
        <v>12</v>
      </c>
      <c r="F333" s="7" t="s">
        <v>14</v>
      </c>
      <c r="G333" s="7" t="n">
        <v>20</v>
      </c>
      <c r="H333" s="8" t="n">
        <v>251.9</v>
      </c>
      <c r="I333" s="8" t="n">
        <v>142.85</v>
      </c>
      <c r="J333" s="8" t="n">
        <v>12.345</v>
      </c>
    </row>
    <row r="334" customFormat="false" ht="15" hidden="false" customHeight="false" outlineLevel="0" collapsed="false">
      <c r="A334" s="9" t="n">
        <v>12</v>
      </c>
      <c r="B334" s="9" t="s">
        <v>24</v>
      </c>
      <c r="C334" s="10" t="s">
        <v>14</v>
      </c>
      <c r="D334" s="10" t="s">
        <v>14</v>
      </c>
      <c r="E334" s="10" t="s">
        <v>12</v>
      </c>
      <c r="F334" s="10" t="s">
        <v>14</v>
      </c>
      <c r="G334" s="10" t="n">
        <v>21</v>
      </c>
      <c r="H334" s="11" t="n">
        <v>191.01</v>
      </c>
      <c r="I334" s="11" t="n">
        <v>123.53</v>
      </c>
      <c r="J334" s="11" t="n">
        <v>12.347</v>
      </c>
    </row>
    <row r="335" customFormat="false" ht="15" hidden="false" customHeight="false" outlineLevel="0" collapsed="false">
      <c r="A335" s="6" t="n">
        <v>12</v>
      </c>
      <c r="B335" s="6" t="s">
        <v>24</v>
      </c>
      <c r="C335" s="7" t="s">
        <v>14</v>
      </c>
      <c r="D335" s="7" t="s">
        <v>14</v>
      </c>
      <c r="E335" s="7" t="s">
        <v>12</v>
      </c>
      <c r="F335" s="7" t="s">
        <v>14</v>
      </c>
      <c r="G335" s="7" t="n">
        <v>22</v>
      </c>
      <c r="H335" s="8" t="n">
        <v>183.07</v>
      </c>
      <c r="I335" s="8" t="n">
        <v>117.8</v>
      </c>
      <c r="J335" s="8" t="n">
        <v>12.314</v>
      </c>
    </row>
    <row r="336" customFormat="false" ht="15" hidden="false" customHeight="false" outlineLevel="0" collapsed="false">
      <c r="A336" s="9" t="n">
        <v>12</v>
      </c>
      <c r="B336" s="9" t="s">
        <v>24</v>
      </c>
      <c r="C336" s="10" t="s">
        <v>14</v>
      </c>
      <c r="D336" s="10" t="s">
        <v>14</v>
      </c>
      <c r="E336" s="10" t="s">
        <v>12</v>
      </c>
      <c r="F336" s="10" t="s">
        <v>14</v>
      </c>
      <c r="G336" s="10" t="n">
        <v>23</v>
      </c>
      <c r="H336" s="11" t="n">
        <v>274.36</v>
      </c>
      <c r="I336" s="11" t="n">
        <v>148.34</v>
      </c>
      <c r="J336" s="11" t="n">
        <v>12.301</v>
      </c>
    </row>
    <row r="337" customFormat="false" ht="15" hidden="false" customHeight="false" outlineLevel="0" collapsed="false">
      <c r="A337" s="6" t="n">
        <v>12</v>
      </c>
      <c r="B337" s="6" t="s">
        <v>24</v>
      </c>
      <c r="C337" s="7" t="s">
        <v>14</v>
      </c>
      <c r="D337" s="7" t="s">
        <v>14</v>
      </c>
      <c r="E337" s="7" t="s">
        <v>12</v>
      </c>
      <c r="F337" s="7" t="s">
        <v>14</v>
      </c>
      <c r="G337" s="7" t="n">
        <v>24</v>
      </c>
      <c r="H337" s="8" t="n">
        <v>252.23</v>
      </c>
      <c r="I337" s="8" t="n">
        <v>137.6</v>
      </c>
      <c r="J337" s="8" t="n">
        <v>12.406</v>
      </c>
    </row>
    <row r="338" customFormat="false" ht="15" hidden="false" customHeight="false" outlineLevel="0" collapsed="false">
      <c r="A338" s="9" t="n">
        <v>12</v>
      </c>
      <c r="B338" s="9" t="s">
        <v>24</v>
      </c>
      <c r="C338" s="10" t="s">
        <v>14</v>
      </c>
      <c r="D338" s="10" t="s">
        <v>14</v>
      </c>
      <c r="E338" s="10" t="s">
        <v>12</v>
      </c>
      <c r="F338" s="10" t="s">
        <v>14</v>
      </c>
      <c r="G338" s="10" t="n">
        <v>25</v>
      </c>
      <c r="H338" s="11" t="n">
        <v>251.49</v>
      </c>
      <c r="I338" s="11" t="n">
        <v>136.46</v>
      </c>
      <c r="J338" s="11" t="n">
        <v>12.349</v>
      </c>
    </row>
    <row r="339" customFormat="false" ht="15" hidden="false" customHeight="false" outlineLevel="0" collapsed="false">
      <c r="A339" s="6" t="n">
        <v>12</v>
      </c>
      <c r="B339" s="6" t="s">
        <v>24</v>
      </c>
      <c r="C339" s="7" t="s">
        <v>14</v>
      </c>
      <c r="D339" s="7" t="s">
        <v>14</v>
      </c>
      <c r="E339" s="7" t="s">
        <v>12</v>
      </c>
      <c r="F339" s="7" t="s">
        <v>14</v>
      </c>
      <c r="G339" s="7" t="n">
        <v>26</v>
      </c>
      <c r="H339" s="8" t="n">
        <v>262.94</v>
      </c>
      <c r="I339" s="8" t="n">
        <v>142.99</v>
      </c>
      <c r="J339" s="8" t="n">
        <v>12.368</v>
      </c>
    </row>
    <row r="340" customFormat="false" ht="15" hidden="false" customHeight="false" outlineLevel="0" collapsed="false">
      <c r="A340" s="9" t="n">
        <v>12</v>
      </c>
      <c r="B340" s="9" t="s">
        <v>24</v>
      </c>
      <c r="C340" s="10" t="s">
        <v>14</v>
      </c>
      <c r="D340" s="10" t="s">
        <v>14</v>
      </c>
      <c r="E340" s="10" t="s">
        <v>12</v>
      </c>
      <c r="F340" s="10" t="s">
        <v>14</v>
      </c>
      <c r="G340" s="10" t="n">
        <v>27</v>
      </c>
      <c r="H340" s="11" t="n">
        <v>186.9</v>
      </c>
      <c r="I340" s="11" t="n">
        <v>119.15</v>
      </c>
      <c r="J340" s="11" t="n">
        <v>12.432</v>
      </c>
    </row>
    <row r="341" customFormat="false" ht="15" hidden="false" customHeight="false" outlineLevel="0" collapsed="false">
      <c r="A341" s="6" t="n">
        <v>12</v>
      </c>
      <c r="B341" s="6" t="s">
        <v>24</v>
      </c>
      <c r="C341" s="7" t="s">
        <v>14</v>
      </c>
      <c r="D341" s="7" t="s">
        <v>14</v>
      </c>
      <c r="E341" s="7" t="s">
        <v>12</v>
      </c>
      <c r="F341" s="7" t="s">
        <v>14</v>
      </c>
      <c r="G341" s="7" t="n">
        <v>28</v>
      </c>
      <c r="H341" s="8" t="n">
        <v>218.27</v>
      </c>
      <c r="I341" s="8" t="n">
        <v>136.23</v>
      </c>
      <c r="J341" s="8" t="n">
        <v>12.367</v>
      </c>
    </row>
    <row r="342" customFormat="false" ht="15" hidden="false" customHeight="false" outlineLevel="0" collapsed="false">
      <c r="A342" s="9" t="n">
        <v>12</v>
      </c>
      <c r="B342" s="9" t="s">
        <v>24</v>
      </c>
      <c r="C342" s="10" t="s">
        <v>14</v>
      </c>
      <c r="D342" s="10" t="s">
        <v>14</v>
      </c>
      <c r="E342" s="10" t="s">
        <v>12</v>
      </c>
      <c r="F342" s="10" t="s">
        <v>14</v>
      </c>
      <c r="G342" s="10" t="n">
        <v>29</v>
      </c>
      <c r="H342" s="11" t="n">
        <v>251.55</v>
      </c>
      <c r="I342" s="11" t="n">
        <v>143.8</v>
      </c>
      <c r="J342" s="11" t="n">
        <v>12.398</v>
      </c>
    </row>
    <row r="343" customFormat="false" ht="15" hidden="false" customHeight="false" outlineLevel="0" collapsed="false">
      <c r="A343" s="6" t="n">
        <v>12</v>
      </c>
      <c r="B343" s="6" t="s">
        <v>24</v>
      </c>
      <c r="C343" s="7" t="s">
        <v>14</v>
      </c>
      <c r="D343" s="7" t="s">
        <v>14</v>
      </c>
      <c r="E343" s="7" t="s">
        <v>12</v>
      </c>
      <c r="F343" s="7" t="s">
        <v>14</v>
      </c>
      <c r="G343" s="7" t="n">
        <v>30</v>
      </c>
      <c r="H343" s="8" t="n">
        <v>201.14</v>
      </c>
      <c r="I343" s="8" t="n">
        <v>132.72</v>
      </c>
      <c r="J343" s="8" t="n">
        <v>12.307</v>
      </c>
    </row>
    <row r="344" customFormat="false" ht="15" hidden="false" customHeight="false" outlineLevel="0" collapsed="false">
      <c r="A344" s="9" t="n">
        <v>12</v>
      </c>
      <c r="B344" s="9" t="s">
        <v>24</v>
      </c>
      <c r="C344" s="10" t="s">
        <v>14</v>
      </c>
      <c r="D344" s="10" t="s">
        <v>14</v>
      </c>
      <c r="E344" s="10" t="s">
        <v>12</v>
      </c>
      <c r="F344" s="10" t="s">
        <v>14</v>
      </c>
      <c r="G344" s="10" t="n">
        <v>31</v>
      </c>
      <c r="H344" s="11" t="n">
        <v>286.4</v>
      </c>
      <c r="I344" s="11" t="n">
        <v>157.57</v>
      </c>
      <c r="J344" s="11" t="n">
        <v>12.407</v>
      </c>
    </row>
    <row r="345" customFormat="false" ht="15" hidden="false" customHeight="false" outlineLevel="0" collapsed="false">
      <c r="A345" s="6" t="n">
        <v>12</v>
      </c>
      <c r="B345" s="6" t="s">
        <v>24</v>
      </c>
      <c r="C345" s="7" t="s">
        <v>14</v>
      </c>
      <c r="D345" s="7" t="s">
        <v>14</v>
      </c>
      <c r="E345" s="7" t="s">
        <v>12</v>
      </c>
      <c r="F345" s="7" t="s">
        <v>14</v>
      </c>
      <c r="G345" s="7" t="n">
        <v>32</v>
      </c>
      <c r="H345" s="8" t="n">
        <v>223.05</v>
      </c>
      <c r="I345" s="8" t="n">
        <v>132.77</v>
      </c>
      <c r="J345" s="8" t="n">
        <v>12.258</v>
      </c>
    </row>
    <row r="346" customFormat="false" ht="15" hidden="false" customHeight="false" outlineLevel="0" collapsed="false">
      <c r="A346" s="9" t="n">
        <v>12</v>
      </c>
      <c r="B346" s="9" t="s">
        <v>24</v>
      </c>
      <c r="C346" s="10" t="s">
        <v>14</v>
      </c>
      <c r="D346" s="10" t="s">
        <v>14</v>
      </c>
      <c r="E346" s="10" t="s">
        <v>12</v>
      </c>
      <c r="F346" s="10" t="s">
        <v>14</v>
      </c>
      <c r="G346" s="10" t="n">
        <v>33</v>
      </c>
      <c r="H346" s="11" t="n">
        <v>255.61</v>
      </c>
      <c r="I346" s="11" t="n">
        <v>140.44</v>
      </c>
      <c r="J346" s="11" t="n">
        <v>12.379</v>
      </c>
    </row>
    <row r="347" customFormat="false" ht="15" hidden="false" customHeight="false" outlineLevel="0" collapsed="false">
      <c r="A347" s="6" t="n">
        <v>12</v>
      </c>
      <c r="B347" s="6" t="s">
        <v>24</v>
      </c>
      <c r="C347" s="7" t="s">
        <v>14</v>
      </c>
      <c r="D347" s="7" t="s">
        <v>14</v>
      </c>
      <c r="E347" s="7" t="s">
        <v>12</v>
      </c>
      <c r="F347" s="7" t="s">
        <v>14</v>
      </c>
      <c r="G347" s="7" t="n">
        <v>34</v>
      </c>
      <c r="H347" s="8" t="n">
        <v>279.57</v>
      </c>
      <c r="I347" s="8" t="n">
        <v>153.89</v>
      </c>
      <c r="J347" s="8" t="n">
        <v>12.362</v>
      </c>
    </row>
    <row r="348" customFormat="false" ht="15" hidden="false" customHeight="false" outlineLevel="0" collapsed="false">
      <c r="A348" s="9" t="n">
        <v>12</v>
      </c>
      <c r="B348" s="9" t="s">
        <v>24</v>
      </c>
      <c r="C348" s="10" t="s">
        <v>14</v>
      </c>
      <c r="D348" s="10" t="s">
        <v>14</v>
      </c>
      <c r="E348" s="10" t="s">
        <v>12</v>
      </c>
      <c r="F348" s="10" t="s">
        <v>14</v>
      </c>
      <c r="G348" s="10" t="n">
        <v>35</v>
      </c>
      <c r="H348" s="11" t="n">
        <v>222.18</v>
      </c>
      <c r="I348" s="11" t="n">
        <v>130.53</v>
      </c>
      <c r="J348" s="11" t="n">
        <v>12.365</v>
      </c>
    </row>
    <row r="349" customFormat="false" ht="15" hidden="false" customHeight="false" outlineLevel="0" collapsed="false">
      <c r="A349" s="6" t="n">
        <v>12</v>
      </c>
      <c r="B349" s="6" t="s">
        <v>24</v>
      </c>
      <c r="C349" s="7" t="s">
        <v>14</v>
      </c>
      <c r="D349" s="7" t="s">
        <v>14</v>
      </c>
      <c r="E349" s="7" t="s">
        <v>12</v>
      </c>
      <c r="F349" s="7" t="s">
        <v>14</v>
      </c>
      <c r="G349" s="7" t="n">
        <v>36</v>
      </c>
      <c r="H349" s="8" t="n">
        <v>173.18</v>
      </c>
      <c r="I349" s="8" t="n">
        <v>121.91</v>
      </c>
      <c r="J349" s="8" t="n">
        <v>12.351</v>
      </c>
    </row>
    <row r="350" customFormat="false" ht="15" hidden="false" customHeight="false" outlineLevel="0" collapsed="false">
      <c r="A350" s="9" t="n">
        <v>12</v>
      </c>
      <c r="B350" s="9" t="s">
        <v>24</v>
      </c>
      <c r="C350" s="10" t="s">
        <v>14</v>
      </c>
      <c r="D350" s="10" t="s">
        <v>14</v>
      </c>
      <c r="E350" s="10" t="s">
        <v>12</v>
      </c>
      <c r="F350" s="10" t="s">
        <v>14</v>
      </c>
      <c r="G350" s="10" t="n">
        <v>37</v>
      </c>
      <c r="H350" s="11" t="n">
        <v>176.77</v>
      </c>
      <c r="I350" s="11" t="n">
        <v>105.7</v>
      </c>
      <c r="J350" s="11" t="n">
        <v>12.323</v>
      </c>
    </row>
    <row r="351" customFormat="false" ht="15" hidden="false" customHeight="false" outlineLevel="0" collapsed="false">
      <c r="A351" s="6" t="n">
        <v>12</v>
      </c>
      <c r="B351" s="6" t="s">
        <v>24</v>
      </c>
      <c r="C351" s="7" t="s">
        <v>14</v>
      </c>
      <c r="D351" s="7" t="s">
        <v>14</v>
      </c>
      <c r="E351" s="7" t="s">
        <v>12</v>
      </c>
      <c r="F351" s="7" t="s">
        <v>14</v>
      </c>
      <c r="G351" s="7" t="n">
        <v>38</v>
      </c>
      <c r="H351" s="8" t="n">
        <v>296.03</v>
      </c>
      <c r="I351" s="8" t="n">
        <v>159.27</v>
      </c>
      <c r="J351" s="8" t="n">
        <v>12.343</v>
      </c>
    </row>
    <row r="352" customFormat="false" ht="15" hidden="false" customHeight="false" outlineLevel="0" collapsed="false">
      <c r="A352" s="9" t="n">
        <v>12</v>
      </c>
      <c r="B352" s="9" t="s">
        <v>24</v>
      </c>
      <c r="C352" s="10" t="s">
        <v>14</v>
      </c>
      <c r="D352" s="10" t="s">
        <v>14</v>
      </c>
      <c r="E352" s="10" t="s">
        <v>12</v>
      </c>
      <c r="F352" s="10" t="s">
        <v>14</v>
      </c>
      <c r="G352" s="10" t="n">
        <v>39</v>
      </c>
      <c r="H352" s="11" t="n">
        <v>187.86</v>
      </c>
      <c r="I352" s="11" t="n">
        <v>122.56</v>
      </c>
      <c r="J352" s="11" t="n">
        <v>12.283</v>
      </c>
    </row>
    <row r="353" customFormat="false" ht="15" hidden="false" customHeight="false" outlineLevel="0" collapsed="false">
      <c r="A353" s="6" t="n">
        <v>12</v>
      </c>
      <c r="B353" s="6" t="s">
        <v>24</v>
      </c>
      <c r="C353" s="7" t="s">
        <v>14</v>
      </c>
      <c r="D353" s="7" t="s">
        <v>14</v>
      </c>
      <c r="E353" s="7" t="s">
        <v>12</v>
      </c>
      <c r="F353" s="7" t="s">
        <v>14</v>
      </c>
      <c r="G353" s="7" t="n">
        <v>40</v>
      </c>
      <c r="H353" s="8" t="n">
        <v>180.1</v>
      </c>
      <c r="I353" s="8" t="n">
        <v>115.59</v>
      </c>
      <c r="J353" s="8" t="n">
        <v>12.332</v>
      </c>
    </row>
    <row r="354" customFormat="false" ht="15" hidden="false" customHeight="false" outlineLevel="0" collapsed="false">
      <c r="A354" s="9" t="n">
        <v>12</v>
      </c>
      <c r="B354" s="9" t="s">
        <v>24</v>
      </c>
      <c r="C354" s="10" t="s">
        <v>14</v>
      </c>
      <c r="D354" s="10" t="s">
        <v>14</v>
      </c>
      <c r="E354" s="10" t="s">
        <v>12</v>
      </c>
      <c r="F354" s="10" t="s">
        <v>14</v>
      </c>
      <c r="G354" s="10" t="n">
        <v>41</v>
      </c>
      <c r="H354" s="11" t="n">
        <v>274.01</v>
      </c>
      <c r="I354" s="11" t="n">
        <v>151.16</v>
      </c>
      <c r="J354" s="11" t="n">
        <v>12.289</v>
      </c>
    </row>
    <row r="355" customFormat="false" ht="15" hidden="false" customHeight="false" outlineLevel="0" collapsed="false">
      <c r="A355" s="6" t="n">
        <v>12</v>
      </c>
      <c r="B355" s="6" t="s">
        <v>24</v>
      </c>
      <c r="C355" s="7" t="s">
        <v>14</v>
      </c>
      <c r="D355" s="7" t="s">
        <v>14</v>
      </c>
      <c r="E355" s="7" t="s">
        <v>12</v>
      </c>
      <c r="F355" s="7" t="s">
        <v>14</v>
      </c>
      <c r="G355" s="7" t="n">
        <v>42</v>
      </c>
      <c r="H355" s="8" t="n">
        <v>166.31</v>
      </c>
      <c r="I355" s="8" t="n">
        <v>100.67</v>
      </c>
      <c r="J355" s="8" t="n">
        <v>12.32</v>
      </c>
    </row>
    <row r="356" customFormat="false" ht="15" hidden="false" customHeight="false" outlineLevel="0" collapsed="false">
      <c r="A356" s="9" t="n">
        <v>12</v>
      </c>
      <c r="B356" s="9" t="s">
        <v>24</v>
      </c>
      <c r="C356" s="10" t="s">
        <v>14</v>
      </c>
      <c r="D356" s="10" t="s">
        <v>14</v>
      </c>
      <c r="E356" s="10" t="s">
        <v>12</v>
      </c>
      <c r="F356" s="10" t="s">
        <v>14</v>
      </c>
      <c r="G356" s="10" t="n">
        <v>43</v>
      </c>
      <c r="H356" s="11" t="n">
        <v>159.72</v>
      </c>
      <c r="I356" s="11" t="n">
        <v>102.43</v>
      </c>
      <c r="J356" s="11" t="n">
        <v>12.316</v>
      </c>
    </row>
    <row r="357" customFormat="false" ht="15" hidden="false" customHeight="false" outlineLevel="0" collapsed="false">
      <c r="A357" s="6" t="n">
        <v>12</v>
      </c>
      <c r="B357" s="6" t="s">
        <v>24</v>
      </c>
      <c r="C357" s="7" t="s">
        <v>14</v>
      </c>
      <c r="D357" s="7" t="s">
        <v>14</v>
      </c>
      <c r="E357" s="7" t="s">
        <v>12</v>
      </c>
      <c r="F357" s="7" t="s">
        <v>14</v>
      </c>
      <c r="G357" s="7" t="n">
        <v>44</v>
      </c>
      <c r="H357" s="8" t="n">
        <v>282.24</v>
      </c>
      <c r="I357" s="8" t="n">
        <v>157.67</v>
      </c>
      <c r="J357" s="8" t="n">
        <v>12.391</v>
      </c>
    </row>
    <row r="358" customFormat="false" ht="15" hidden="false" customHeight="false" outlineLevel="0" collapsed="false">
      <c r="A358" s="9" t="n">
        <v>12</v>
      </c>
      <c r="B358" s="9" t="s">
        <v>24</v>
      </c>
      <c r="C358" s="10" t="s">
        <v>14</v>
      </c>
      <c r="D358" s="10" t="s">
        <v>14</v>
      </c>
      <c r="E358" s="10" t="s">
        <v>12</v>
      </c>
      <c r="F358" s="10" t="s">
        <v>14</v>
      </c>
      <c r="G358" s="10" t="n">
        <v>45</v>
      </c>
      <c r="H358" s="11" t="n">
        <v>206.5</v>
      </c>
      <c r="I358" s="11" t="n">
        <v>127.34</v>
      </c>
      <c r="J358" s="11" t="n">
        <v>12.342</v>
      </c>
    </row>
    <row r="359" customFormat="false" ht="15" hidden="false" customHeight="false" outlineLevel="0" collapsed="false">
      <c r="A359" s="6" t="n">
        <v>12</v>
      </c>
      <c r="B359" s="6" t="s">
        <v>24</v>
      </c>
      <c r="C359" s="7" t="s">
        <v>14</v>
      </c>
      <c r="D359" s="7" t="s">
        <v>14</v>
      </c>
      <c r="E359" s="7" t="s">
        <v>12</v>
      </c>
      <c r="F359" s="7" t="s">
        <v>14</v>
      </c>
      <c r="G359" s="7" t="n">
        <v>46</v>
      </c>
      <c r="H359" s="8" t="n">
        <v>221.8</v>
      </c>
      <c r="I359" s="8" t="n">
        <v>131.45</v>
      </c>
      <c r="J359" s="8" t="n">
        <v>12.325</v>
      </c>
    </row>
    <row r="360" customFormat="false" ht="15" hidden="false" customHeight="false" outlineLevel="0" collapsed="false">
      <c r="A360" s="9" t="n">
        <v>12</v>
      </c>
      <c r="B360" s="9" t="s">
        <v>24</v>
      </c>
      <c r="C360" s="10" t="s">
        <v>14</v>
      </c>
      <c r="D360" s="10" t="s">
        <v>14</v>
      </c>
      <c r="E360" s="10" t="s">
        <v>12</v>
      </c>
      <c r="F360" s="10" t="s">
        <v>14</v>
      </c>
      <c r="G360" s="10" t="n">
        <v>47</v>
      </c>
      <c r="H360" s="11" t="n">
        <v>181.71</v>
      </c>
      <c r="I360" s="11" t="n">
        <v>114.91</v>
      </c>
      <c r="J360" s="11" t="n">
        <v>12.355</v>
      </c>
    </row>
    <row r="361" customFormat="false" ht="15" hidden="false" customHeight="false" outlineLevel="0" collapsed="false">
      <c r="A361" s="6" t="n">
        <v>12</v>
      </c>
      <c r="B361" s="6" t="s">
        <v>24</v>
      </c>
      <c r="C361" s="7" t="s">
        <v>14</v>
      </c>
      <c r="D361" s="7" t="s">
        <v>14</v>
      </c>
      <c r="E361" s="7" t="s">
        <v>12</v>
      </c>
      <c r="F361" s="7" t="s">
        <v>14</v>
      </c>
      <c r="G361" s="7" t="n">
        <v>48</v>
      </c>
      <c r="H361" s="8" t="n">
        <v>296.36</v>
      </c>
      <c r="I361" s="8" t="n">
        <v>160.1</v>
      </c>
      <c r="J361" s="8" t="n">
        <v>12.326</v>
      </c>
    </row>
    <row r="362" customFormat="false" ht="15" hidden="false" customHeight="false" outlineLevel="0" collapsed="false">
      <c r="A362" s="9" t="n">
        <v>12</v>
      </c>
      <c r="B362" s="9" t="s">
        <v>24</v>
      </c>
      <c r="C362" s="10" t="s">
        <v>14</v>
      </c>
      <c r="D362" s="10" t="s">
        <v>14</v>
      </c>
      <c r="E362" s="10" t="s">
        <v>12</v>
      </c>
      <c r="F362" s="10" t="s">
        <v>14</v>
      </c>
      <c r="G362" s="10" t="n">
        <v>49</v>
      </c>
      <c r="H362" s="11" t="n">
        <v>262.25</v>
      </c>
      <c r="I362" s="11" t="n">
        <v>146.84</v>
      </c>
      <c r="J362" s="11" t="n">
        <v>12.311</v>
      </c>
    </row>
    <row r="363" customFormat="false" ht="15" hidden="false" customHeight="false" outlineLevel="0" collapsed="false">
      <c r="A363" s="6" t="n">
        <v>12</v>
      </c>
      <c r="B363" s="6" t="s">
        <v>24</v>
      </c>
      <c r="C363" s="7" t="s">
        <v>14</v>
      </c>
      <c r="D363" s="7" t="s">
        <v>14</v>
      </c>
      <c r="E363" s="7" t="s">
        <v>12</v>
      </c>
      <c r="F363" s="7" t="s">
        <v>14</v>
      </c>
      <c r="G363" s="7" t="n">
        <v>50</v>
      </c>
      <c r="H363" s="8" t="n">
        <v>161.02</v>
      </c>
      <c r="I363" s="8" t="n">
        <v>109.1</v>
      </c>
      <c r="J363" s="8" t="n">
        <v>12.375</v>
      </c>
    </row>
    <row r="364" customFormat="false" ht="15" hidden="false" customHeight="false" outlineLevel="0" collapsed="false">
      <c r="A364" s="9" t="n">
        <v>12</v>
      </c>
      <c r="B364" s="9" t="s">
        <v>24</v>
      </c>
      <c r="C364" s="10" t="s">
        <v>14</v>
      </c>
      <c r="D364" s="10" t="s">
        <v>14</v>
      </c>
      <c r="E364" s="10" t="s">
        <v>12</v>
      </c>
      <c r="F364" s="10" t="s">
        <v>14</v>
      </c>
      <c r="G364" s="10" t="n">
        <v>51</v>
      </c>
      <c r="H364" s="11" t="n">
        <v>264.21</v>
      </c>
      <c r="I364" s="11" t="n">
        <v>148.9</v>
      </c>
      <c r="J364" s="11" t="n">
        <v>12.353</v>
      </c>
    </row>
    <row r="365" customFormat="false" ht="15" hidden="false" customHeight="false" outlineLevel="0" collapsed="false">
      <c r="A365" s="6" t="n">
        <v>12</v>
      </c>
      <c r="B365" s="6" t="s">
        <v>24</v>
      </c>
      <c r="C365" s="7" t="s">
        <v>14</v>
      </c>
      <c r="D365" s="7" t="s">
        <v>14</v>
      </c>
      <c r="E365" s="7" t="s">
        <v>12</v>
      </c>
      <c r="F365" s="7" t="s">
        <v>14</v>
      </c>
      <c r="G365" s="7" t="n">
        <v>52</v>
      </c>
      <c r="H365" s="8" t="n">
        <v>216.48</v>
      </c>
      <c r="I365" s="8" t="n">
        <v>127.42</v>
      </c>
      <c r="J365" s="8" t="n">
        <v>12.325</v>
      </c>
    </row>
    <row r="366" customFormat="false" ht="15" hidden="false" customHeight="false" outlineLevel="0" collapsed="false">
      <c r="A366" s="9" t="n">
        <v>12</v>
      </c>
      <c r="B366" s="9" t="s">
        <v>24</v>
      </c>
      <c r="C366" s="10" t="s">
        <v>14</v>
      </c>
      <c r="D366" s="10" t="s">
        <v>14</v>
      </c>
      <c r="E366" s="10" t="s">
        <v>12</v>
      </c>
      <c r="F366" s="10" t="s">
        <v>14</v>
      </c>
      <c r="G366" s="10" t="n">
        <v>53</v>
      </c>
      <c r="H366" s="11" t="n">
        <v>169.7</v>
      </c>
      <c r="I366" s="11" t="n">
        <v>110.3</v>
      </c>
      <c r="J366" s="11" t="n">
        <v>12.344</v>
      </c>
    </row>
    <row r="367" customFormat="false" ht="15" hidden="false" customHeight="false" outlineLevel="0" collapsed="false">
      <c r="A367" s="6" t="n">
        <v>12</v>
      </c>
      <c r="B367" s="6" t="s">
        <v>24</v>
      </c>
      <c r="C367" s="7" t="s">
        <v>14</v>
      </c>
      <c r="D367" s="7" t="s">
        <v>14</v>
      </c>
      <c r="E367" s="7" t="s">
        <v>12</v>
      </c>
      <c r="F367" s="7" t="s">
        <v>14</v>
      </c>
      <c r="G367" s="7" t="n">
        <v>54</v>
      </c>
      <c r="H367" s="8" t="n">
        <v>279.94</v>
      </c>
      <c r="I367" s="8" t="n">
        <v>149.72</v>
      </c>
      <c r="J367" s="8" t="n">
        <v>12.308</v>
      </c>
    </row>
    <row r="368" customFormat="false" ht="15" hidden="false" customHeight="false" outlineLevel="0" collapsed="false">
      <c r="A368" s="9" t="n">
        <v>12</v>
      </c>
      <c r="B368" s="9" t="s">
        <v>24</v>
      </c>
      <c r="C368" s="10" t="s">
        <v>14</v>
      </c>
      <c r="D368" s="10" t="s">
        <v>14</v>
      </c>
      <c r="E368" s="10" t="s">
        <v>12</v>
      </c>
      <c r="F368" s="10" t="s">
        <v>14</v>
      </c>
      <c r="G368" s="10" t="n">
        <v>55</v>
      </c>
      <c r="H368" s="11" t="n">
        <v>264.51</v>
      </c>
      <c r="I368" s="11" t="n">
        <v>145.83</v>
      </c>
      <c r="J368" s="11" t="n">
        <v>12.345</v>
      </c>
    </row>
    <row r="369" customFormat="false" ht="15" hidden="false" customHeight="false" outlineLevel="0" collapsed="false">
      <c r="A369" s="6" t="n">
        <v>12</v>
      </c>
      <c r="B369" s="6" t="s">
        <v>24</v>
      </c>
      <c r="C369" s="7" t="s">
        <v>14</v>
      </c>
      <c r="D369" s="7" t="s">
        <v>14</v>
      </c>
      <c r="E369" s="7" t="s">
        <v>12</v>
      </c>
      <c r="F369" s="7" t="s">
        <v>14</v>
      </c>
      <c r="G369" s="7" t="n">
        <v>56</v>
      </c>
      <c r="H369" s="8" t="n">
        <v>268.89</v>
      </c>
      <c r="I369" s="8" t="n">
        <v>146.2</v>
      </c>
      <c r="J369" s="8" t="n">
        <v>12.336</v>
      </c>
    </row>
    <row r="370" customFormat="false" ht="15" hidden="false" customHeight="false" outlineLevel="0" collapsed="false">
      <c r="A370" s="9" t="n">
        <v>12</v>
      </c>
      <c r="B370" s="9" t="s">
        <v>24</v>
      </c>
      <c r="C370" s="10" t="s">
        <v>14</v>
      </c>
      <c r="D370" s="10" t="s">
        <v>14</v>
      </c>
      <c r="E370" s="10" t="s">
        <v>12</v>
      </c>
      <c r="F370" s="10" t="s">
        <v>14</v>
      </c>
      <c r="G370" s="10" t="n">
        <v>57</v>
      </c>
      <c r="H370" s="11" t="n">
        <v>289.63</v>
      </c>
      <c r="I370" s="11" t="n">
        <v>153.92</v>
      </c>
      <c r="J370" s="11" t="n">
        <v>12.351</v>
      </c>
    </row>
    <row r="371" customFormat="false" ht="15" hidden="false" customHeight="false" outlineLevel="0" collapsed="false">
      <c r="A371" s="6" t="n">
        <v>12</v>
      </c>
      <c r="B371" s="6" t="s">
        <v>24</v>
      </c>
      <c r="C371" s="7" t="s">
        <v>14</v>
      </c>
      <c r="D371" s="7" t="s">
        <v>14</v>
      </c>
      <c r="E371" s="7" t="s">
        <v>12</v>
      </c>
      <c r="F371" s="7" t="s">
        <v>14</v>
      </c>
      <c r="G371" s="7" t="n">
        <v>58</v>
      </c>
      <c r="H371" s="8" t="n">
        <v>162.35</v>
      </c>
      <c r="I371" s="8" t="n">
        <v>102.94</v>
      </c>
      <c r="J371" s="8" t="n">
        <v>12.312</v>
      </c>
    </row>
    <row r="372" customFormat="false" ht="15" hidden="false" customHeight="false" outlineLevel="0" collapsed="false">
      <c r="A372" s="9" t="n">
        <v>12</v>
      </c>
      <c r="B372" s="9" t="s">
        <v>24</v>
      </c>
      <c r="C372" s="10" t="s">
        <v>14</v>
      </c>
      <c r="D372" s="10" t="s">
        <v>14</v>
      </c>
      <c r="E372" s="10" t="s">
        <v>12</v>
      </c>
      <c r="F372" s="10" t="s">
        <v>14</v>
      </c>
      <c r="G372" s="10" t="n">
        <v>59</v>
      </c>
      <c r="H372" s="11" t="n">
        <v>220.49</v>
      </c>
      <c r="I372" s="11" t="n">
        <v>125.61</v>
      </c>
      <c r="J372" s="11" t="n">
        <v>12.38</v>
      </c>
    </row>
    <row r="373" customFormat="false" ht="15" hidden="false" customHeight="false" outlineLevel="0" collapsed="false">
      <c r="A373" s="6" t="n">
        <v>12</v>
      </c>
      <c r="B373" s="6" t="s">
        <v>24</v>
      </c>
      <c r="C373" s="7" t="s">
        <v>14</v>
      </c>
      <c r="D373" s="7" t="s">
        <v>14</v>
      </c>
      <c r="E373" s="7" t="s">
        <v>12</v>
      </c>
      <c r="F373" s="7" t="s">
        <v>14</v>
      </c>
      <c r="G373" s="7" t="n">
        <v>60</v>
      </c>
      <c r="H373" s="8" t="n">
        <v>256.94</v>
      </c>
      <c r="I373" s="8" t="n">
        <v>143.39</v>
      </c>
      <c r="J373" s="8" t="n">
        <v>12.383</v>
      </c>
    </row>
    <row r="374" customFormat="false" ht="15" hidden="false" customHeight="false" outlineLevel="0" collapsed="false">
      <c r="A374" s="9" t="n">
        <v>12</v>
      </c>
      <c r="B374" s="9" t="s">
        <v>24</v>
      </c>
      <c r="C374" s="10" t="s">
        <v>14</v>
      </c>
      <c r="D374" s="10" t="s">
        <v>14</v>
      </c>
      <c r="E374" s="10" t="s">
        <v>12</v>
      </c>
      <c r="F374" s="10" t="s">
        <v>14</v>
      </c>
      <c r="G374" s="10" t="n">
        <v>61</v>
      </c>
      <c r="H374" s="11" t="n">
        <v>209.52</v>
      </c>
      <c r="I374" s="11" t="n">
        <v>124.55</v>
      </c>
      <c r="J374" s="11" t="n">
        <v>12.393</v>
      </c>
    </row>
    <row r="375" customFormat="false" ht="15" hidden="false" customHeight="false" outlineLevel="0" collapsed="false">
      <c r="A375" s="6" t="n">
        <v>12</v>
      </c>
      <c r="B375" s="6" t="s">
        <v>24</v>
      </c>
      <c r="C375" s="7" t="s">
        <v>14</v>
      </c>
      <c r="D375" s="7" t="s">
        <v>14</v>
      </c>
      <c r="E375" s="7" t="s">
        <v>12</v>
      </c>
      <c r="F375" s="7" t="s">
        <v>14</v>
      </c>
      <c r="G375" s="7" t="n">
        <v>62</v>
      </c>
      <c r="H375" s="8" t="n">
        <v>251.25</v>
      </c>
      <c r="I375" s="8" t="n">
        <v>135.96</v>
      </c>
      <c r="J375" s="8" t="n">
        <v>12.352</v>
      </c>
    </row>
    <row r="376" customFormat="false" ht="15" hidden="false" customHeight="false" outlineLevel="0" collapsed="false">
      <c r="A376" s="9" t="n">
        <v>12</v>
      </c>
      <c r="B376" s="9" t="s">
        <v>24</v>
      </c>
      <c r="C376" s="10" t="s">
        <v>14</v>
      </c>
      <c r="D376" s="10" t="s">
        <v>14</v>
      </c>
      <c r="E376" s="10" t="s">
        <v>12</v>
      </c>
      <c r="F376" s="10" t="s">
        <v>14</v>
      </c>
      <c r="G376" s="10" t="n">
        <v>63</v>
      </c>
      <c r="H376" s="11" t="n">
        <v>281.02</v>
      </c>
      <c r="I376" s="11" t="n">
        <v>158.59</v>
      </c>
      <c r="J376" s="11" t="n">
        <v>12.29</v>
      </c>
    </row>
    <row r="377" customFormat="false" ht="15" hidden="false" customHeight="false" outlineLevel="0" collapsed="false">
      <c r="A377" s="6" t="n">
        <v>12</v>
      </c>
      <c r="B377" s="6" t="s">
        <v>24</v>
      </c>
      <c r="C377" s="7" t="s">
        <v>14</v>
      </c>
      <c r="D377" s="7" t="s">
        <v>14</v>
      </c>
      <c r="E377" s="7" t="s">
        <v>12</v>
      </c>
      <c r="F377" s="7" t="s">
        <v>14</v>
      </c>
      <c r="G377" s="7" t="n">
        <v>64</v>
      </c>
      <c r="H377" s="8" t="n">
        <v>161.46</v>
      </c>
      <c r="I377" s="8" t="n">
        <v>103.27</v>
      </c>
      <c r="J377" s="8" t="n">
        <v>12.299</v>
      </c>
    </row>
    <row r="378" customFormat="false" ht="15" hidden="false" customHeight="false" outlineLevel="0" collapsed="false">
      <c r="A378" s="9" t="n">
        <v>12</v>
      </c>
      <c r="B378" s="9" t="s">
        <v>24</v>
      </c>
      <c r="C378" s="10" t="s">
        <v>14</v>
      </c>
      <c r="D378" s="10" t="s">
        <v>14</v>
      </c>
      <c r="E378" s="10" t="s">
        <v>12</v>
      </c>
      <c r="F378" s="10" t="s">
        <v>14</v>
      </c>
      <c r="G378" s="10" t="n">
        <v>65</v>
      </c>
      <c r="H378" s="11" t="n">
        <v>266.83</v>
      </c>
      <c r="I378" s="11" t="n">
        <v>148.97</v>
      </c>
      <c r="J378" s="11" t="n">
        <v>12.398</v>
      </c>
    </row>
    <row r="379" customFormat="false" ht="15" hidden="false" customHeight="false" outlineLevel="0" collapsed="false">
      <c r="A379" s="6" t="n">
        <v>12</v>
      </c>
      <c r="B379" s="6" t="s">
        <v>24</v>
      </c>
      <c r="C379" s="7" t="s">
        <v>14</v>
      </c>
      <c r="D379" s="7" t="s">
        <v>14</v>
      </c>
      <c r="E379" s="7" t="s">
        <v>12</v>
      </c>
      <c r="F379" s="7" t="s">
        <v>14</v>
      </c>
      <c r="G379" s="7" t="n">
        <v>66</v>
      </c>
      <c r="H379" s="8" t="n">
        <v>193.09</v>
      </c>
      <c r="I379" s="8" t="n">
        <v>119.92</v>
      </c>
      <c r="J379" s="8" t="n">
        <v>12.354</v>
      </c>
    </row>
    <row r="380" customFormat="false" ht="15" hidden="false" customHeight="false" outlineLevel="0" collapsed="false">
      <c r="A380" s="9" t="n">
        <v>12</v>
      </c>
      <c r="B380" s="9" t="s">
        <v>24</v>
      </c>
      <c r="C380" s="10" t="s">
        <v>14</v>
      </c>
      <c r="D380" s="10" t="s">
        <v>14</v>
      </c>
      <c r="E380" s="10" t="s">
        <v>12</v>
      </c>
      <c r="F380" s="10" t="s">
        <v>14</v>
      </c>
      <c r="G380" s="10" t="n">
        <v>67</v>
      </c>
      <c r="H380" s="11" t="n">
        <v>221.4</v>
      </c>
      <c r="I380" s="11" t="n">
        <v>131.13</v>
      </c>
      <c r="J380" s="11" t="n">
        <v>12.307</v>
      </c>
    </row>
    <row r="381" customFormat="false" ht="15" hidden="false" customHeight="false" outlineLevel="0" collapsed="false">
      <c r="A381" s="6" t="n">
        <v>12</v>
      </c>
      <c r="B381" s="6" t="s">
        <v>24</v>
      </c>
      <c r="C381" s="7" t="s">
        <v>14</v>
      </c>
      <c r="D381" s="7" t="s">
        <v>14</v>
      </c>
      <c r="E381" s="7" t="s">
        <v>12</v>
      </c>
      <c r="F381" s="7" t="s">
        <v>14</v>
      </c>
      <c r="G381" s="7" t="n">
        <v>68</v>
      </c>
      <c r="H381" s="8" t="n">
        <v>272.47</v>
      </c>
      <c r="I381" s="8" t="n">
        <v>152.87</v>
      </c>
      <c r="J381" s="8" t="n">
        <v>12.324</v>
      </c>
    </row>
    <row r="382" customFormat="false" ht="15" hidden="false" customHeight="false" outlineLevel="0" collapsed="false">
      <c r="A382" s="3" t="n">
        <v>13</v>
      </c>
      <c r="B382" s="3" t="s">
        <v>25</v>
      </c>
      <c r="C382" s="4" t="s">
        <v>12</v>
      </c>
      <c r="D382" s="4" t="s">
        <v>12</v>
      </c>
      <c r="E382" s="4" t="s">
        <v>14</v>
      </c>
      <c r="F382" s="4" t="s">
        <v>14</v>
      </c>
      <c r="G382" s="4" t="n">
        <v>1</v>
      </c>
      <c r="H382" s="5" t="n">
        <v>380.26</v>
      </c>
      <c r="I382" s="5" t="n">
        <v>6.81</v>
      </c>
      <c r="J382" s="5" t="n">
        <v>15.25</v>
      </c>
    </row>
    <row r="383" customFormat="false" ht="15" hidden="false" customHeight="false" outlineLevel="0" collapsed="false">
      <c r="A383" s="6" t="n">
        <v>13</v>
      </c>
      <c r="B383" s="6" t="s">
        <v>25</v>
      </c>
      <c r="C383" s="7" t="s">
        <v>12</v>
      </c>
      <c r="D383" s="7" t="s">
        <v>12</v>
      </c>
      <c r="E383" s="7" t="s">
        <v>14</v>
      </c>
      <c r="F383" s="7" t="s">
        <v>14</v>
      </c>
      <c r="G383" s="7" t="n">
        <v>2</v>
      </c>
      <c r="H383" s="8" t="n">
        <v>367.06</v>
      </c>
      <c r="I383" s="8" t="n">
        <v>8.71</v>
      </c>
      <c r="J383" s="8" t="n">
        <v>15.227</v>
      </c>
    </row>
    <row r="384" customFormat="false" ht="15" hidden="false" customHeight="false" outlineLevel="0" collapsed="false">
      <c r="A384" s="3" t="n">
        <v>13</v>
      </c>
      <c r="B384" s="3" t="s">
        <v>25</v>
      </c>
      <c r="C384" s="4" t="s">
        <v>12</v>
      </c>
      <c r="D384" s="4" t="s">
        <v>12</v>
      </c>
      <c r="E384" s="4" t="s">
        <v>14</v>
      </c>
      <c r="F384" s="4" t="s">
        <v>14</v>
      </c>
      <c r="G384" s="4" t="n">
        <v>3</v>
      </c>
      <c r="H384" s="5" t="n">
        <v>344.85</v>
      </c>
      <c r="I384" s="5" t="n">
        <v>8.63</v>
      </c>
      <c r="J384" s="5" t="n">
        <v>15.233</v>
      </c>
    </row>
    <row r="385" customFormat="false" ht="15" hidden="false" customHeight="false" outlineLevel="0" collapsed="false">
      <c r="A385" s="6" t="n">
        <v>13</v>
      </c>
      <c r="B385" s="6" t="s">
        <v>25</v>
      </c>
      <c r="C385" s="7" t="s">
        <v>12</v>
      </c>
      <c r="D385" s="7" t="s">
        <v>12</v>
      </c>
      <c r="E385" s="7" t="s">
        <v>14</v>
      </c>
      <c r="F385" s="7" t="s">
        <v>14</v>
      </c>
      <c r="G385" s="7" t="n">
        <v>4</v>
      </c>
      <c r="H385" s="8" t="n">
        <v>447.72</v>
      </c>
      <c r="I385" s="8" t="n">
        <v>7.4</v>
      </c>
      <c r="J385" s="8" t="n">
        <v>15.255</v>
      </c>
    </row>
    <row r="386" customFormat="false" ht="15" hidden="false" customHeight="false" outlineLevel="0" collapsed="false">
      <c r="A386" s="3" t="n">
        <v>13</v>
      </c>
      <c r="B386" s="3" t="s">
        <v>25</v>
      </c>
      <c r="C386" s="4" t="s">
        <v>12</v>
      </c>
      <c r="D386" s="4" t="s">
        <v>12</v>
      </c>
      <c r="E386" s="4" t="s">
        <v>14</v>
      </c>
      <c r="F386" s="4" t="s">
        <v>14</v>
      </c>
      <c r="G386" s="4" t="n">
        <v>5</v>
      </c>
      <c r="H386" s="5" t="n">
        <v>410.69</v>
      </c>
      <c r="I386" s="5" t="n">
        <v>7.25</v>
      </c>
      <c r="J386" s="5" t="n">
        <v>15.239</v>
      </c>
    </row>
    <row r="387" customFormat="false" ht="15" hidden="false" customHeight="false" outlineLevel="0" collapsed="false">
      <c r="A387" s="6" t="n">
        <v>13</v>
      </c>
      <c r="B387" s="6" t="s">
        <v>25</v>
      </c>
      <c r="C387" s="7" t="s">
        <v>12</v>
      </c>
      <c r="D387" s="7" t="s">
        <v>12</v>
      </c>
      <c r="E387" s="7" t="s">
        <v>14</v>
      </c>
      <c r="F387" s="7" t="s">
        <v>14</v>
      </c>
      <c r="G387" s="7" t="n">
        <v>6</v>
      </c>
      <c r="H387" s="8" t="n">
        <v>466.39</v>
      </c>
      <c r="I387" s="8" t="n">
        <v>8.02</v>
      </c>
      <c r="J387" s="8" t="n">
        <v>15.235</v>
      </c>
    </row>
    <row r="388" customFormat="false" ht="15" hidden="false" customHeight="false" outlineLevel="0" collapsed="false">
      <c r="A388" s="3" t="n">
        <v>13</v>
      </c>
      <c r="B388" s="3" t="s">
        <v>25</v>
      </c>
      <c r="C388" s="4" t="s">
        <v>12</v>
      </c>
      <c r="D388" s="4" t="s">
        <v>12</v>
      </c>
      <c r="E388" s="4" t="s">
        <v>14</v>
      </c>
      <c r="F388" s="4" t="s">
        <v>14</v>
      </c>
      <c r="G388" s="4" t="n">
        <v>7</v>
      </c>
      <c r="H388" s="5" t="n">
        <v>338.47</v>
      </c>
      <c r="I388" s="5" t="n">
        <v>6.94</v>
      </c>
      <c r="J388" s="5" t="n">
        <v>15.257</v>
      </c>
    </row>
    <row r="389" customFormat="false" ht="15" hidden="false" customHeight="false" outlineLevel="0" collapsed="false">
      <c r="A389" s="6" t="n">
        <v>13</v>
      </c>
      <c r="B389" s="6" t="s">
        <v>25</v>
      </c>
      <c r="C389" s="7" t="s">
        <v>12</v>
      </c>
      <c r="D389" s="7" t="s">
        <v>12</v>
      </c>
      <c r="E389" s="7" t="s">
        <v>14</v>
      </c>
      <c r="F389" s="7" t="s">
        <v>14</v>
      </c>
      <c r="G389" s="7" t="n">
        <v>8</v>
      </c>
      <c r="H389" s="8" t="n">
        <v>473.83</v>
      </c>
      <c r="I389" s="8" t="n">
        <v>8.03</v>
      </c>
      <c r="J389" s="8" t="n">
        <v>15.252</v>
      </c>
    </row>
    <row r="390" customFormat="false" ht="15" hidden="false" customHeight="false" outlineLevel="0" collapsed="false">
      <c r="A390" s="3" t="n">
        <v>13</v>
      </c>
      <c r="B390" s="3" t="s">
        <v>25</v>
      </c>
      <c r="C390" s="4" t="s">
        <v>12</v>
      </c>
      <c r="D390" s="4" t="s">
        <v>12</v>
      </c>
      <c r="E390" s="4" t="s">
        <v>14</v>
      </c>
      <c r="F390" s="4" t="s">
        <v>14</v>
      </c>
      <c r="G390" s="4" t="n">
        <v>9</v>
      </c>
      <c r="H390" s="5" t="n">
        <v>400.3</v>
      </c>
      <c r="I390" s="5" t="n">
        <v>7.1</v>
      </c>
      <c r="J390" s="5" t="n">
        <v>15.227</v>
      </c>
    </row>
    <row r="391" customFormat="false" ht="15" hidden="false" customHeight="false" outlineLevel="0" collapsed="false">
      <c r="A391" s="6" t="n">
        <v>13</v>
      </c>
      <c r="B391" s="6" t="s">
        <v>25</v>
      </c>
      <c r="C391" s="7" t="s">
        <v>12</v>
      </c>
      <c r="D391" s="7" t="s">
        <v>12</v>
      </c>
      <c r="E391" s="7" t="s">
        <v>14</v>
      </c>
      <c r="F391" s="7" t="s">
        <v>14</v>
      </c>
      <c r="G391" s="7" t="n">
        <v>10</v>
      </c>
      <c r="H391" s="8" t="n">
        <v>534.81</v>
      </c>
      <c r="I391" s="8" t="n">
        <v>7.61</v>
      </c>
      <c r="J391" s="8" t="n">
        <v>15.252</v>
      </c>
    </row>
    <row r="392" customFormat="false" ht="15" hidden="false" customHeight="false" outlineLevel="0" collapsed="false">
      <c r="A392" s="3" t="n">
        <v>13</v>
      </c>
      <c r="B392" s="3" t="s">
        <v>25</v>
      </c>
      <c r="C392" s="4" t="s">
        <v>12</v>
      </c>
      <c r="D392" s="4" t="s">
        <v>12</v>
      </c>
      <c r="E392" s="4" t="s">
        <v>14</v>
      </c>
      <c r="F392" s="4" t="s">
        <v>14</v>
      </c>
      <c r="G392" s="4" t="n">
        <v>11</v>
      </c>
      <c r="H392" s="5" t="n">
        <v>305.36</v>
      </c>
      <c r="I392" s="5" t="n">
        <v>8.01</v>
      </c>
      <c r="J392" s="5" t="n">
        <v>15.262</v>
      </c>
    </row>
    <row r="393" customFormat="false" ht="15" hidden="false" customHeight="false" outlineLevel="0" collapsed="false">
      <c r="A393" s="6" t="n">
        <v>13</v>
      </c>
      <c r="B393" s="6" t="s">
        <v>25</v>
      </c>
      <c r="C393" s="7" t="s">
        <v>12</v>
      </c>
      <c r="D393" s="7" t="s">
        <v>12</v>
      </c>
      <c r="E393" s="7" t="s">
        <v>14</v>
      </c>
      <c r="F393" s="7" t="s">
        <v>14</v>
      </c>
      <c r="G393" s="7" t="n">
        <v>12</v>
      </c>
      <c r="H393" s="8" t="n">
        <v>404.1</v>
      </c>
      <c r="I393" s="8" t="n">
        <v>7.98</v>
      </c>
      <c r="J393" s="8" t="n">
        <v>15.287</v>
      </c>
    </row>
    <row r="394" customFormat="false" ht="15" hidden="false" customHeight="false" outlineLevel="0" collapsed="false">
      <c r="A394" s="3" t="n">
        <v>13</v>
      </c>
      <c r="B394" s="3" t="s">
        <v>25</v>
      </c>
      <c r="C394" s="4" t="s">
        <v>12</v>
      </c>
      <c r="D394" s="4" t="s">
        <v>12</v>
      </c>
      <c r="E394" s="4" t="s">
        <v>14</v>
      </c>
      <c r="F394" s="4" t="s">
        <v>14</v>
      </c>
      <c r="G394" s="4" t="n">
        <v>13</v>
      </c>
      <c r="H394" s="5" t="n">
        <v>421.63</v>
      </c>
      <c r="I394" s="5" t="n">
        <v>8.37</v>
      </c>
      <c r="J394" s="5" t="n">
        <v>15.271</v>
      </c>
    </row>
    <row r="395" customFormat="false" ht="15" hidden="false" customHeight="false" outlineLevel="0" collapsed="false">
      <c r="A395" s="6" t="n">
        <v>13</v>
      </c>
      <c r="B395" s="6" t="s">
        <v>25</v>
      </c>
      <c r="C395" s="7" t="s">
        <v>12</v>
      </c>
      <c r="D395" s="7" t="s">
        <v>12</v>
      </c>
      <c r="E395" s="7" t="s">
        <v>14</v>
      </c>
      <c r="F395" s="7" t="s">
        <v>14</v>
      </c>
      <c r="G395" s="7" t="n">
        <v>14</v>
      </c>
      <c r="H395" s="8" t="n">
        <v>347.98</v>
      </c>
      <c r="I395" s="8" t="n">
        <v>6.62</v>
      </c>
      <c r="J395" s="8" t="n">
        <v>15.308</v>
      </c>
    </row>
    <row r="396" customFormat="false" ht="15" hidden="false" customHeight="false" outlineLevel="0" collapsed="false">
      <c r="A396" s="3" t="n">
        <v>13</v>
      </c>
      <c r="B396" s="3" t="s">
        <v>25</v>
      </c>
      <c r="C396" s="4" t="s">
        <v>12</v>
      </c>
      <c r="D396" s="4" t="s">
        <v>12</v>
      </c>
      <c r="E396" s="4" t="s">
        <v>14</v>
      </c>
      <c r="F396" s="4" t="s">
        <v>14</v>
      </c>
      <c r="G396" s="4" t="n">
        <v>15</v>
      </c>
      <c r="H396" s="5" t="n">
        <v>437.22</v>
      </c>
      <c r="I396" s="5" t="n">
        <v>6.87</v>
      </c>
      <c r="J396" s="5" t="n">
        <v>15.271</v>
      </c>
    </row>
    <row r="397" customFormat="false" ht="15" hidden="false" customHeight="false" outlineLevel="0" collapsed="false">
      <c r="A397" s="6" t="n">
        <v>13</v>
      </c>
      <c r="B397" s="6" t="s">
        <v>25</v>
      </c>
      <c r="C397" s="7" t="s">
        <v>12</v>
      </c>
      <c r="D397" s="7" t="s">
        <v>12</v>
      </c>
      <c r="E397" s="7" t="s">
        <v>14</v>
      </c>
      <c r="F397" s="7" t="s">
        <v>14</v>
      </c>
      <c r="G397" s="7" t="n">
        <v>16</v>
      </c>
      <c r="H397" s="8" t="n">
        <v>409.66</v>
      </c>
      <c r="I397" s="8" t="n">
        <v>9.31</v>
      </c>
      <c r="J397" s="8" t="n">
        <v>15.259</v>
      </c>
    </row>
    <row r="398" customFormat="false" ht="15" hidden="false" customHeight="false" outlineLevel="0" collapsed="false">
      <c r="A398" s="3" t="n">
        <v>13</v>
      </c>
      <c r="B398" s="3" t="s">
        <v>25</v>
      </c>
      <c r="C398" s="4" t="s">
        <v>12</v>
      </c>
      <c r="D398" s="4" t="s">
        <v>12</v>
      </c>
      <c r="E398" s="4" t="s">
        <v>14</v>
      </c>
      <c r="F398" s="4" t="s">
        <v>14</v>
      </c>
      <c r="G398" s="4" t="n">
        <v>17</v>
      </c>
      <c r="H398" s="5" t="n">
        <v>420.55</v>
      </c>
      <c r="I398" s="5" t="n">
        <v>6.5</v>
      </c>
      <c r="J398" s="5" t="n">
        <v>15.293</v>
      </c>
    </row>
    <row r="399" customFormat="false" ht="15" hidden="false" customHeight="false" outlineLevel="0" collapsed="false">
      <c r="A399" s="6" t="n">
        <v>13</v>
      </c>
      <c r="B399" s="6" t="s">
        <v>25</v>
      </c>
      <c r="C399" s="7" t="s">
        <v>12</v>
      </c>
      <c r="D399" s="7" t="s">
        <v>12</v>
      </c>
      <c r="E399" s="7" t="s">
        <v>14</v>
      </c>
      <c r="F399" s="7" t="s">
        <v>14</v>
      </c>
      <c r="G399" s="7" t="n">
        <v>18</v>
      </c>
      <c r="H399" s="8" t="n">
        <v>411.39</v>
      </c>
      <c r="I399" s="8" t="n">
        <v>8.09</v>
      </c>
      <c r="J399" s="8" t="n">
        <v>15.27</v>
      </c>
    </row>
    <row r="400" customFormat="false" ht="15" hidden="false" customHeight="false" outlineLevel="0" collapsed="false">
      <c r="A400" s="3" t="n">
        <v>13</v>
      </c>
      <c r="B400" s="3" t="s">
        <v>25</v>
      </c>
      <c r="C400" s="4" t="s">
        <v>12</v>
      </c>
      <c r="D400" s="4" t="s">
        <v>12</v>
      </c>
      <c r="E400" s="4" t="s">
        <v>14</v>
      </c>
      <c r="F400" s="4" t="s">
        <v>14</v>
      </c>
      <c r="G400" s="4" t="n">
        <v>19</v>
      </c>
      <c r="H400" s="5" t="n">
        <v>360.89</v>
      </c>
      <c r="I400" s="5" t="n">
        <v>9.77</v>
      </c>
      <c r="J400" s="5" t="n">
        <v>15.272</v>
      </c>
    </row>
    <row r="401" customFormat="false" ht="15" hidden="false" customHeight="false" outlineLevel="0" collapsed="false">
      <c r="A401" s="6" t="n">
        <v>13</v>
      </c>
      <c r="B401" s="6" t="s">
        <v>25</v>
      </c>
      <c r="C401" s="7" t="s">
        <v>12</v>
      </c>
      <c r="D401" s="7" t="s">
        <v>12</v>
      </c>
      <c r="E401" s="7" t="s">
        <v>14</v>
      </c>
      <c r="F401" s="7" t="s">
        <v>14</v>
      </c>
      <c r="G401" s="7" t="n">
        <v>20</v>
      </c>
      <c r="H401" s="8" t="n">
        <v>425.61</v>
      </c>
      <c r="I401" s="8" t="n">
        <v>9.97</v>
      </c>
      <c r="J401" s="8" t="n">
        <v>15.26</v>
      </c>
    </row>
    <row r="402" customFormat="false" ht="15" hidden="false" customHeight="false" outlineLevel="0" collapsed="false">
      <c r="A402" s="3" t="n">
        <v>13</v>
      </c>
      <c r="B402" s="3" t="s">
        <v>25</v>
      </c>
      <c r="C402" s="4" t="s">
        <v>12</v>
      </c>
      <c r="D402" s="4" t="s">
        <v>12</v>
      </c>
      <c r="E402" s="4" t="s">
        <v>14</v>
      </c>
      <c r="F402" s="4" t="s">
        <v>14</v>
      </c>
      <c r="G402" s="4" t="n">
        <v>21</v>
      </c>
      <c r="H402" s="5" t="n">
        <v>348.88</v>
      </c>
      <c r="I402" s="5" t="n">
        <v>6.83</v>
      </c>
      <c r="J402" s="5" t="n">
        <v>15.237</v>
      </c>
    </row>
    <row r="403" customFormat="false" ht="15" hidden="false" customHeight="false" outlineLevel="0" collapsed="false">
      <c r="A403" s="6" t="n">
        <v>13</v>
      </c>
      <c r="B403" s="6" t="s">
        <v>25</v>
      </c>
      <c r="C403" s="7" t="s">
        <v>12</v>
      </c>
      <c r="D403" s="7" t="s">
        <v>12</v>
      </c>
      <c r="E403" s="7" t="s">
        <v>14</v>
      </c>
      <c r="F403" s="7" t="s">
        <v>14</v>
      </c>
      <c r="G403" s="7" t="n">
        <v>22</v>
      </c>
      <c r="H403" s="8" t="n">
        <v>432.86</v>
      </c>
      <c r="I403" s="8" t="n">
        <v>7.84</v>
      </c>
      <c r="J403" s="8" t="n">
        <v>15.299</v>
      </c>
    </row>
    <row r="404" customFormat="false" ht="15" hidden="false" customHeight="false" outlineLevel="0" collapsed="false">
      <c r="A404" s="3" t="n">
        <v>13</v>
      </c>
      <c r="B404" s="3" t="s">
        <v>25</v>
      </c>
      <c r="C404" s="4" t="s">
        <v>12</v>
      </c>
      <c r="D404" s="4" t="s">
        <v>12</v>
      </c>
      <c r="E404" s="4" t="s">
        <v>14</v>
      </c>
      <c r="F404" s="4" t="s">
        <v>14</v>
      </c>
      <c r="G404" s="4" t="n">
        <v>23</v>
      </c>
      <c r="H404" s="5" t="n">
        <v>410.03</v>
      </c>
      <c r="I404" s="5" t="n">
        <v>8.11</v>
      </c>
      <c r="J404" s="5" t="n">
        <v>15.233</v>
      </c>
    </row>
    <row r="405" customFormat="false" ht="15" hidden="false" customHeight="false" outlineLevel="0" collapsed="false">
      <c r="A405" s="6" t="n">
        <v>13</v>
      </c>
      <c r="B405" s="6" t="s">
        <v>25</v>
      </c>
      <c r="C405" s="7" t="s">
        <v>12</v>
      </c>
      <c r="D405" s="7" t="s">
        <v>12</v>
      </c>
      <c r="E405" s="7" t="s">
        <v>14</v>
      </c>
      <c r="F405" s="7" t="s">
        <v>14</v>
      </c>
      <c r="G405" s="7" t="n">
        <v>24</v>
      </c>
      <c r="H405" s="8" t="n">
        <v>441.14</v>
      </c>
      <c r="I405" s="8" t="n">
        <v>7.81</v>
      </c>
      <c r="J405" s="8" t="n">
        <v>15.263</v>
      </c>
    </row>
    <row r="406" customFormat="false" ht="15" hidden="false" customHeight="false" outlineLevel="0" collapsed="false">
      <c r="A406" s="3" t="n">
        <v>13</v>
      </c>
      <c r="B406" s="3" t="s">
        <v>25</v>
      </c>
      <c r="C406" s="4" t="s">
        <v>12</v>
      </c>
      <c r="D406" s="4" t="s">
        <v>12</v>
      </c>
      <c r="E406" s="4" t="s">
        <v>14</v>
      </c>
      <c r="F406" s="4" t="s">
        <v>14</v>
      </c>
      <c r="G406" s="4" t="n">
        <v>25</v>
      </c>
      <c r="H406" s="5" t="n">
        <v>508.34</v>
      </c>
      <c r="I406" s="5" t="n">
        <v>7.1</v>
      </c>
      <c r="J406" s="5" t="n">
        <v>15.258</v>
      </c>
    </row>
    <row r="407" customFormat="false" ht="15" hidden="false" customHeight="false" outlineLevel="0" collapsed="false">
      <c r="A407" s="6" t="n">
        <v>13</v>
      </c>
      <c r="B407" s="6" t="s">
        <v>25</v>
      </c>
      <c r="C407" s="7" t="s">
        <v>12</v>
      </c>
      <c r="D407" s="7" t="s">
        <v>12</v>
      </c>
      <c r="E407" s="7" t="s">
        <v>14</v>
      </c>
      <c r="F407" s="7" t="s">
        <v>14</v>
      </c>
      <c r="G407" s="7" t="n">
        <v>26</v>
      </c>
      <c r="H407" s="8" t="n">
        <v>426.48</v>
      </c>
      <c r="I407" s="8" t="n">
        <v>7.47</v>
      </c>
      <c r="J407" s="8" t="n">
        <v>15.258</v>
      </c>
    </row>
    <row r="408" customFormat="false" ht="15" hidden="false" customHeight="false" outlineLevel="0" collapsed="false">
      <c r="A408" s="3" t="n">
        <v>13</v>
      </c>
      <c r="B408" s="3" t="s">
        <v>25</v>
      </c>
      <c r="C408" s="4" t="s">
        <v>12</v>
      </c>
      <c r="D408" s="4" t="s">
        <v>12</v>
      </c>
      <c r="E408" s="4" t="s">
        <v>14</v>
      </c>
      <c r="F408" s="4" t="s">
        <v>14</v>
      </c>
      <c r="G408" s="4" t="n">
        <v>27</v>
      </c>
      <c r="H408" s="5" t="n">
        <v>374.22</v>
      </c>
      <c r="I408" s="5" t="n">
        <v>7.8</v>
      </c>
      <c r="J408" s="5" t="n">
        <v>15.268</v>
      </c>
    </row>
    <row r="409" customFormat="false" ht="15" hidden="false" customHeight="false" outlineLevel="0" collapsed="false">
      <c r="A409" s="6" t="n">
        <v>13</v>
      </c>
      <c r="B409" s="6" t="s">
        <v>25</v>
      </c>
      <c r="C409" s="7" t="s">
        <v>12</v>
      </c>
      <c r="D409" s="7" t="s">
        <v>12</v>
      </c>
      <c r="E409" s="7" t="s">
        <v>14</v>
      </c>
      <c r="F409" s="7" t="s">
        <v>14</v>
      </c>
      <c r="G409" s="7" t="n">
        <v>28</v>
      </c>
      <c r="H409" s="8" t="n">
        <v>348.26</v>
      </c>
      <c r="I409" s="8" t="n">
        <v>7.43</v>
      </c>
      <c r="J409" s="8" t="n">
        <v>15.252</v>
      </c>
    </row>
    <row r="410" customFormat="false" ht="15" hidden="false" customHeight="false" outlineLevel="0" collapsed="false">
      <c r="A410" s="3" t="n">
        <v>13</v>
      </c>
      <c r="B410" s="3" t="s">
        <v>25</v>
      </c>
      <c r="C410" s="4" t="s">
        <v>12</v>
      </c>
      <c r="D410" s="4" t="s">
        <v>12</v>
      </c>
      <c r="E410" s="4" t="s">
        <v>14</v>
      </c>
      <c r="F410" s="4" t="s">
        <v>14</v>
      </c>
      <c r="G410" s="4" t="n">
        <v>29</v>
      </c>
      <c r="H410" s="5" t="n">
        <v>420.13</v>
      </c>
      <c r="I410" s="5" t="n">
        <v>6.81</v>
      </c>
      <c r="J410" s="5" t="n">
        <v>15.286</v>
      </c>
    </row>
    <row r="411" customFormat="false" ht="15" hidden="false" customHeight="false" outlineLevel="0" collapsed="false">
      <c r="A411" s="6" t="n">
        <v>13</v>
      </c>
      <c r="B411" s="6" t="s">
        <v>25</v>
      </c>
      <c r="C411" s="7" t="s">
        <v>12</v>
      </c>
      <c r="D411" s="7" t="s">
        <v>12</v>
      </c>
      <c r="E411" s="7" t="s">
        <v>14</v>
      </c>
      <c r="F411" s="7" t="s">
        <v>14</v>
      </c>
      <c r="G411" s="7" t="n">
        <v>30</v>
      </c>
      <c r="H411" s="8" t="n">
        <v>380.57</v>
      </c>
      <c r="I411" s="8" t="n">
        <v>6.92</v>
      </c>
      <c r="J411" s="8" t="n">
        <v>15.274</v>
      </c>
    </row>
    <row r="412" customFormat="false" ht="15" hidden="false" customHeight="false" outlineLevel="0" collapsed="false">
      <c r="A412" s="3" t="n">
        <v>13</v>
      </c>
      <c r="B412" s="3" t="s">
        <v>25</v>
      </c>
      <c r="C412" s="4" t="s">
        <v>12</v>
      </c>
      <c r="D412" s="4" t="s">
        <v>12</v>
      </c>
      <c r="E412" s="4" t="s">
        <v>14</v>
      </c>
      <c r="F412" s="4" t="s">
        <v>14</v>
      </c>
      <c r="G412" s="4" t="n">
        <v>31</v>
      </c>
      <c r="H412" s="5" t="n">
        <v>356.81</v>
      </c>
      <c r="I412" s="5" t="n">
        <v>7.96</v>
      </c>
      <c r="J412" s="5" t="n">
        <v>15.269</v>
      </c>
    </row>
    <row r="413" customFormat="false" ht="15" hidden="false" customHeight="false" outlineLevel="0" collapsed="false">
      <c r="A413" s="6" t="n">
        <v>13</v>
      </c>
      <c r="B413" s="6" t="s">
        <v>25</v>
      </c>
      <c r="C413" s="7" t="s">
        <v>12</v>
      </c>
      <c r="D413" s="7" t="s">
        <v>12</v>
      </c>
      <c r="E413" s="7" t="s">
        <v>14</v>
      </c>
      <c r="F413" s="7" t="s">
        <v>14</v>
      </c>
      <c r="G413" s="7" t="n">
        <v>32</v>
      </c>
      <c r="H413" s="8" t="n">
        <v>360.16</v>
      </c>
      <c r="I413" s="8" t="n">
        <v>7.64</v>
      </c>
      <c r="J413" s="8" t="n">
        <v>15.276</v>
      </c>
    </row>
    <row r="414" customFormat="false" ht="15" hidden="false" customHeight="false" outlineLevel="0" collapsed="false">
      <c r="A414" s="3" t="n">
        <v>13</v>
      </c>
      <c r="B414" s="3" t="s">
        <v>25</v>
      </c>
      <c r="C414" s="4" t="s">
        <v>12</v>
      </c>
      <c r="D414" s="4" t="s">
        <v>12</v>
      </c>
      <c r="E414" s="4" t="s">
        <v>14</v>
      </c>
      <c r="F414" s="4" t="s">
        <v>14</v>
      </c>
      <c r="G414" s="4" t="n">
        <v>33</v>
      </c>
      <c r="H414" s="5" t="n">
        <v>377.16</v>
      </c>
      <c r="I414" s="5" t="n">
        <v>8.58</v>
      </c>
      <c r="J414" s="5" t="n">
        <v>15.271</v>
      </c>
    </row>
    <row r="415" customFormat="false" ht="15" hidden="false" customHeight="false" outlineLevel="0" collapsed="false">
      <c r="A415" s="6" t="n">
        <v>13</v>
      </c>
      <c r="B415" s="6" t="s">
        <v>25</v>
      </c>
      <c r="C415" s="7" t="s">
        <v>12</v>
      </c>
      <c r="D415" s="7" t="s">
        <v>12</v>
      </c>
      <c r="E415" s="7" t="s">
        <v>14</v>
      </c>
      <c r="F415" s="7" t="s">
        <v>14</v>
      </c>
      <c r="G415" s="7" t="n">
        <v>34</v>
      </c>
      <c r="H415" s="8" t="n">
        <v>355.81</v>
      </c>
      <c r="I415" s="8" t="n">
        <v>7.03</v>
      </c>
      <c r="J415" s="8" t="n">
        <v>15.256</v>
      </c>
    </row>
    <row r="416" customFormat="false" ht="15" hidden="false" customHeight="false" outlineLevel="0" collapsed="false">
      <c r="A416" s="3" t="n">
        <v>13</v>
      </c>
      <c r="B416" s="3" t="s">
        <v>25</v>
      </c>
      <c r="C416" s="4" t="s">
        <v>12</v>
      </c>
      <c r="D416" s="4" t="s">
        <v>12</v>
      </c>
      <c r="E416" s="4" t="s">
        <v>14</v>
      </c>
      <c r="F416" s="4" t="s">
        <v>14</v>
      </c>
      <c r="G416" s="4" t="n">
        <v>35</v>
      </c>
      <c r="H416" s="5" t="n">
        <v>425.81</v>
      </c>
      <c r="I416" s="5" t="n">
        <v>7.91</v>
      </c>
      <c r="J416" s="5" t="n">
        <v>15.283</v>
      </c>
    </row>
    <row r="417" customFormat="false" ht="15" hidden="false" customHeight="false" outlineLevel="0" collapsed="false">
      <c r="A417" s="6" t="n">
        <v>13</v>
      </c>
      <c r="B417" s="6" t="s">
        <v>25</v>
      </c>
      <c r="C417" s="7" t="s">
        <v>12</v>
      </c>
      <c r="D417" s="7" t="s">
        <v>12</v>
      </c>
      <c r="E417" s="7" t="s">
        <v>14</v>
      </c>
      <c r="F417" s="7" t="s">
        <v>14</v>
      </c>
      <c r="G417" s="7" t="n">
        <v>36</v>
      </c>
      <c r="H417" s="8" t="n">
        <v>467.71</v>
      </c>
      <c r="I417" s="8" t="n">
        <v>7.98</v>
      </c>
      <c r="J417" s="8" t="n">
        <v>15.222</v>
      </c>
    </row>
    <row r="418" customFormat="false" ht="15" hidden="false" customHeight="false" outlineLevel="0" collapsed="false">
      <c r="A418" s="3" t="n">
        <v>13</v>
      </c>
      <c r="B418" s="3" t="s">
        <v>25</v>
      </c>
      <c r="C418" s="4" t="s">
        <v>12</v>
      </c>
      <c r="D418" s="4" t="s">
        <v>12</v>
      </c>
      <c r="E418" s="4" t="s">
        <v>14</v>
      </c>
      <c r="F418" s="4" t="s">
        <v>14</v>
      </c>
      <c r="G418" s="4" t="n">
        <v>37</v>
      </c>
      <c r="H418" s="5" t="n">
        <v>414.03</v>
      </c>
      <c r="I418" s="5" t="n">
        <v>8.08</v>
      </c>
      <c r="J418" s="5" t="n">
        <v>15.267</v>
      </c>
    </row>
    <row r="419" customFormat="false" ht="15" hidden="false" customHeight="false" outlineLevel="0" collapsed="false">
      <c r="A419" s="6" t="n">
        <v>13</v>
      </c>
      <c r="B419" s="6" t="s">
        <v>25</v>
      </c>
      <c r="C419" s="7" t="s">
        <v>12</v>
      </c>
      <c r="D419" s="7" t="s">
        <v>12</v>
      </c>
      <c r="E419" s="7" t="s">
        <v>14</v>
      </c>
      <c r="F419" s="7" t="s">
        <v>14</v>
      </c>
      <c r="G419" s="7" t="n">
        <v>38</v>
      </c>
      <c r="H419" s="8" t="n">
        <v>426.67</v>
      </c>
      <c r="I419" s="8" t="n">
        <v>7.27</v>
      </c>
      <c r="J419" s="8" t="n">
        <v>15.264</v>
      </c>
    </row>
    <row r="420" customFormat="false" ht="15" hidden="false" customHeight="false" outlineLevel="0" collapsed="false">
      <c r="A420" s="3" t="n">
        <v>13</v>
      </c>
      <c r="B420" s="3" t="s">
        <v>25</v>
      </c>
      <c r="C420" s="4" t="s">
        <v>12</v>
      </c>
      <c r="D420" s="4" t="s">
        <v>12</v>
      </c>
      <c r="E420" s="4" t="s">
        <v>14</v>
      </c>
      <c r="F420" s="4" t="s">
        <v>14</v>
      </c>
      <c r="G420" s="4" t="n">
        <v>39</v>
      </c>
      <c r="H420" s="5" t="n">
        <v>417.22</v>
      </c>
      <c r="I420" s="5" t="n">
        <v>9.03</v>
      </c>
      <c r="J420" s="5" t="n">
        <v>15.276</v>
      </c>
    </row>
    <row r="421" customFormat="false" ht="15" hidden="false" customHeight="false" outlineLevel="0" collapsed="false">
      <c r="A421" s="6" t="n">
        <v>13</v>
      </c>
      <c r="B421" s="6" t="s">
        <v>25</v>
      </c>
      <c r="C421" s="7" t="s">
        <v>12</v>
      </c>
      <c r="D421" s="7" t="s">
        <v>12</v>
      </c>
      <c r="E421" s="7" t="s">
        <v>14</v>
      </c>
      <c r="F421" s="7" t="s">
        <v>14</v>
      </c>
      <c r="G421" s="7" t="n">
        <v>40</v>
      </c>
      <c r="H421" s="8" t="n">
        <v>331.82</v>
      </c>
      <c r="I421" s="8" t="n">
        <v>7.18</v>
      </c>
      <c r="J421" s="8" t="n">
        <v>15.24</v>
      </c>
    </row>
    <row r="422" customFormat="false" ht="15" hidden="false" customHeight="false" outlineLevel="0" collapsed="false">
      <c r="A422" s="3" t="n">
        <v>13</v>
      </c>
      <c r="B422" s="3" t="s">
        <v>25</v>
      </c>
      <c r="C422" s="4" t="s">
        <v>12</v>
      </c>
      <c r="D422" s="4" t="s">
        <v>12</v>
      </c>
      <c r="E422" s="4" t="s">
        <v>14</v>
      </c>
      <c r="F422" s="4" t="s">
        <v>14</v>
      </c>
      <c r="G422" s="4" t="n">
        <v>41</v>
      </c>
      <c r="H422" s="5" t="n">
        <v>447.72</v>
      </c>
      <c r="I422" s="5" t="n">
        <v>9.69</v>
      </c>
      <c r="J422" s="5" t="n">
        <v>15.248</v>
      </c>
    </row>
    <row r="423" customFormat="false" ht="15" hidden="false" customHeight="false" outlineLevel="0" collapsed="false">
      <c r="A423" s="6" t="n">
        <v>13</v>
      </c>
      <c r="B423" s="6" t="s">
        <v>25</v>
      </c>
      <c r="C423" s="7" t="s">
        <v>12</v>
      </c>
      <c r="D423" s="7" t="s">
        <v>12</v>
      </c>
      <c r="E423" s="7" t="s">
        <v>14</v>
      </c>
      <c r="F423" s="7" t="s">
        <v>14</v>
      </c>
      <c r="G423" s="7" t="n">
        <v>42</v>
      </c>
      <c r="H423" s="8" t="n">
        <v>410.25</v>
      </c>
      <c r="I423" s="8" t="n">
        <v>7.2</v>
      </c>
      <c r="J423" s="8" t="n">
        <v>15.26</v>
      </c>
    </row>
    <row r="424" customFormat="false" ht="15" hidden="false" customHeight="false" outlineLevel="0" collapsed="false">
      <c r="A424" s="9" t="n">
        <v>14</v>
      </c>
      <c r="B424" s="9" t="s">
        <v>26</v>
      </c>
      <c r="C424" s="10" t="s">
        <v>14</v>
      </c>
      <c r="D424" s="10" t="s">
        <v>12</v>
      </c>
      <c r="E424" s="10" t="s">
        <v>14</v>
      </c>
      <c r="F424" s="10" t="s">
        <v>14</v>
      </c>
      <c r="G424" s="10" t="n">
        <v>1</v>
      </c>
      <c r="H424" s="11" t="n">
        <v>321.46</v>
      </c>
      <c r="I424" s="11" t="n">
        <v>6.61</v>
      </c>
      <c r="J424" s="11" t="n">
        <v>25.373</v>
      </c>
    </row>
    <row r="425" customFormat="false" ht="15" hidden="false" customHeight="false" outlineLevel="0" collapsed="false">
      <c r="A425" s="6" t="n">
        <v>14</v>
      </c>
      <c r="B425" s="6" t="s">
        <v>26</v>
      </c>
      <c r="C425" s="7" t="s">
        <v>14</v>
      </c>
      <c r="D425" s="7" t="s">
        <v>12</v>
      </c>
      <c r="E425" s="7" t="s">
        <v>14</v>
      </c>
      <c r="F425" s="7" t="s">
        <v>14</v>
      </c>
      <c r="G425" s="7" t="n">
        <v>2</v>
      </c>
      <c r="H425" s="8" t="n">
        <v>347.69</v>
      </c>
      <c r="I425" s="8" t="n">
        <v>7.83</v>
      </c>
      <c r="J425" s="8" t="n">
        <v>25.406</v>
      </c>
    </row>
    <row r="426" customFormat="false" ht="15" hidden="false" customHeight="false" outlineLevel="0" collapsed="false">
      <c r="A426" s="9" t="n">
        <v>14</v>
      </c>
      <c r="B426" s="9" t="s">
        <v>26</v>
      </c>
      <c r="C426" s="10" t="s">
        <v>14</v>
      </c>
      <c r="D426" s="10" t="s">
        <v>12</v>
      </c>
      <c r="E426" s="10" t="s">
        <v>14</v>
      </c>
      <c r="F426" s="10" t="s">
        <v>14</v>
      </c>
      <c r="G426" s="10" t="n">
        <v>3</v>
      </c>
      <c r="H426" s="11" t="n">
        <v>423.45</v>
      </c>
      <c r="I426" s="11" t="n">
        <v>7.88</v>
      </c>
      <c r="J426" s="11" t="n">
        <v>25.398</v>
      </c>
    </row>
    <row r="427" customFormat="false" ht="15" hidden="false" customHeight="false" outlineLevel="0" collapsed="false">
      <c r="A427" s="6" t="n">
        <v>14</v>
      </c>
      <c r="B427" s="6" t="s">
        <v>26</v>
      </c>
      <c r="C427" s="7" t="s">
        <v>14</v>
      </c>
      <c r="D427" s="7" t="s">
        <v>12</v>
      </c>
      <c r="E427" s="7" t="s">
        <v>14</v>
      </c>
      <c r="F427" s="7" t="s">
        <v>14</v>
      </c>
      <c r="G427" s="7" t="n">
        <v>4</v>
      </c>
      <c r="H427" s="8" t="n">
        <v>399.98</v>
      </c>
      <c r="I427" s="8" t="n">
        <v>8.04</v>
      </c>
      <c r="J427" s="8" t="n">
        <v>25.453</v>
      </c>
    </row>
    <row r="428" customFormat="false" ht="15" hidden="false" customHeight="false" outlineLevel="0" collapsed="false">
      <c r="A428" s="9" t="n">
        <v>14</v>
      </c>
      <c r="B428" s="9" t="s">
        <v>26</v>
      </c>
      <c r="C428" s="10" t="s">
        <v>14</v>
      </c>
      <c r="D428" s="10" t="s">
        <v>12</v>
      </c>
      <c r="E428" s="10" t="s">
        <v>14</v>
      </c>
      <c r="F428" s="10" t="s">
        <v>14</v>
      </c>
      <c r="G428" s="10" t="n">
        <v>5</v>
      </c>
      <c r="H428" s="11" t="n">
        <v>287.51</v>
      </c>
      <c r="I428" s="11" t="n">
        <v>7.35</v>
      </c>
      <c r="J428" s="11" t="n">
        <v>25.428</v>
      </c>
    </row>
    <row r="429" customFormat="false" ht="15" hidden="false" customHeight="false" outlineLevel="0" collapsed="false">
      <c r="A429" s="6" t="n">
        <v>14</v>
      </c>
      <c r="B429" s="6" t="s">
        <v>26</v>
      </c>
      <c r="C429" s="7" t="s">
        <v>14</v>
      </c>
      <c r="D429" s="7" t="s">
        <v>12</v>
      </c>
      <c r="E429" s="7" t="s">
        <v>14</v>
      </c>
      <c r="F429" s="7" t="s">
        <v>14</v>
      </c>
      <c r="G429" s="7" t="n">
        <v>6</v>
      </c>
      <c r="H429" s="8" t="n">
        <v>381.9</v>
      </c>
      <c r="I429" s="8" t="n">
        <v>7.2</v>
      </c>
      <c r="J429" s="8" t="n">
        <v>25.425</v>
      </c>
    </row>
    <row r="430" customFormat="false" ht="15" hidden="false" customHeight="false" outlineLevel="0" collapsed="false">
      <c r="A430" s="9" t="n">
        <v>14</v>
      </c>
      <c r="B430" s="9" t="s">
        <v>26</v>
      </c>
      <c r="C430" s="10" t="s">
        <v>14</v>
      </c>
      <c r="D430" s="10" t="s">
        <v>12</v>
      </c>
      <c r="E430" s="10" t="s">
        <v>14</v>
      </c>
      <c r="F430" s="10" t="s">
        <v>14</v>
      </c>
      <c r="G430" s="10" t="n">
        <v>7</v>
      </c>
      <c r="H430" s="11" t="n">
        <v>401.26</v>
      </c>
      <c r="I430" s="11" t="n">
        <v>7.15</v>
      </c>
      <c r="J430" s="11" t="n">
        <v>25.432</v>
      </c>
    </row>
    <row r="431" customFormat="false" ht="15" hidden="false" customHeight="false" outlineLevel="0" collapsed="false">
      <c r="A431" s="6" t="n">
        <v>14</v>
      </c>
      <c r="B431" s="6" t="s">
        <v>26</v>
      </c>
      <c r="C431" s="7" t="s">
        <v>14</v>
      </c>
      <c r="D431" s="7" t="s">
        <v>12</v>
      </c>
      <c r="E431" s="7" t="s">
        <v>14</v>
      </c>
      <c r="F431" s="7" t="s">
        <v>14</v>
      </c>
      <c r="G431" s="7" t="n">
        <v>8</v>
      </c>
      <c r="H431" s="8" t="n">
        <v>333.63</v>
      </c>
      <c r="I431" s="8" t="n">
        <v>8.51</v>
      </c>
      <c r="J431" s="8" t="n">
        <v>25.463</v>
      </c>
    </row>
    <row r="432" customFormat="false" ht="15" hidden="false" customHeight="false" outlineLevel="0" collapsed="false">
      <c r="A432" s="9" t="n">
        <v>14</v>
      </c>
      <c r="B432" s="9" t="s">
        <v>26</v>
      </c>
      <c r="C432" s="10" t="s">
        <v>14</v>
      </c>
      <c r="D432" s="10" t="s">
        <v>12</v>
      </c>
      <c r="E432" s="10" t="s">
        <v>14</v>
      </c>
      <c r="F432" s="10" t="s">
        <v>14</v>
      </c>
      <c r="G432" s="10" t="n">
        <v>9</v>
      </c>
      <c r="H432" s="11" t="n">
        <v>357.54</v>
      </c>
      <c r="I432" s="11" t="n">
        <v>6.97</v>
      </c>
      <c r="J432" s="11" t="n">
        <v>25.441</v>
      </c>
    </row>
    <row r="433" customFormat="false" ht="15" hidden="false" customHeight="false" outlineLevel="0" collapsed="false">
      <c r="A433" s="6" t="n">
        <v>14</v>
      </c>
      <c r="B433" s="6" t="s">
        <v>26</v>
      </c>
      <c r="C433" s="7" t="s">
        <v>14</v>
      </c>
      <c r="D433" s="7" t="s">
        <v>12</v>
      </c>
      <c r="E433" s="7" t="s">
        <v>14</v>
      </c>
      <c r="F433" s="7" t="s">
        <v>14</v>
      </c>
      <c r="G433" s="7" t="n">
        <v>10</v>
      </c>
      <c r="H433" s="8" t="n">
        <v>351.62</v>
      </c>
      <c r="I433" s="8" t="n">
        <v>7.81</v>
      </c>
      <c r="J433" s="8" t="n">
        <v>25.497</v>
      </c>
    </row>
    <row r="434" customFormat="false" ht="15" hidden="false" customHeight="false" outlineLevel="0" collapsed="false">
      <c r="A434" s="9" t="n">
        <v>14</v>
      </c>
      <c r="B434" s="9" t="s">
        <v>26</v>
      </c>
      <c r="C434" s="10" t="s">
        <v>14</v>
      </c>
      <c r="D434" s="10" t="s">
        <v>12</v>
      </c>
      <c r="E434" s="10" t="s">
        <v>14</v>
      </c>
      <c r="F434" s="10" t="s">
        <v>14</v>
      </c>
      <c r="G434" s="10" t="n">
        <v>11</v>
      </c>
      <c r="H434" s="11" t="n">
        <v>428.25</v>
      </c>
      <c r="I434" s="11" t="n">
        <v>6.71</v>
      </c>
      <c r="J434" s="11" t="n">
        <v>25.403</v>
      </c>
    </row>
    <row r="435" customFormat="false" ht="15" hidden="false" customHeight="false" outlineLevel="0" collapsed="false">
      <c r="A435" s="6" t="n">
        <v>14</v>
      </c>
      <c r="B435" s="6" t="s">
        <v>26</v>
      </c>
      <c r="C435" s="7" t="s">
        <v>14</v>
      </c>
      <c r="D435" s="7" t="s">
        <v>12</v>
      </c>
      <c r="E435" s="7" t="s">
        <v>14</v>
      </c>
      <c r="F435" s="7" t="s">
        <v>14</v>
      </c>
      <c r="G435" s="7" t="n">
        <v>12</v>
      </c>
      <c r="H435" s="8" t="n">
        <v>307.03</v>
      </c>
      <c r="I435" s="8" t="n">
        <v>7</v>
      </c>
      <c r="J435" s="8" t="n">
        <v>25.424</v>
      </c>
    </row>
    <row r="436" customFormat="false" ht="15" hidden="false" customHeight="false" outlineLevel="0" collapsed="false">
      <c r="A436" s="9" t="n">
        <v>14</v>
      </c>
      <c r="B436" s="9" t="s">
        <v>26</v>
      </c>
      <c r="C436" s="10" t="s">
        <v>14</v>
      </c>
      <c r="D436" s="10" t="s">
        <v>12</v>
      </c>
      <c r="E436" s="10" t="s">
        <v>14</v>
      </c>
      <c r="F436" s="10" t="s">
        <v>14</v>
      </c>
      <c r="G436" s="10" t="n">
        <v>13</v>
      </c>
      <c r="H436" s="11" t="n">
        <v>412.07</v>
      </c>
      <c r="I436" s="11" t="n">
        <v>7.13</v>
      </c>
      <c r="J436" s="11" t="n">
        <v>25.401</v>
      </c>
    </row>
    <row r="437" customFormat="false" ht="15" hidden="false" customHeight="false" outlineLevel="0" collapsed="false">
      <c r="A437" s="6" t="n">
        <v>14</v>
      </c>
      <c r="B437" s="6" t="s">
        <v>26</v>
      </c>
      <c r="C437" s="7" t="s">
        <v>14</v>
      </c>
      <c r="D437" s="7" t="s">
        <v>12</v>
      </c>
      <c r="E437" s="7" t="s">
        <v>14</v>
      </c>
      <c r="F437" s="7" t="s">
        <v>14</v>
      </c>
      <c r="G437" s="7" t="n">
        <v>14</v>
      </c>
      <c r="H437" s="8" t="n">
        <v>339.05</v>
      </c>
      <c r="I437" s="8" t="n">
        <v>5.62</v>
      </c>
      <c r="J437" s="8" t="n">
        <v>25.42</v>
      </c>
    </row>
    <row r="438" customFormat="false" ht="15" hidden="false" customHeight="false" outlineLevel="0" collapsed="false">
      <c r="A438" s="9" t="n">
        <v>14</v>
      </c>
      <c r="B438" s="9" t="s">
        <v>26</v>
      </c>
      <c r="C438" s="10" t="s">
        <v>14</v>
      </c>
      <c r="D438" s="10" t="s">
        <v>12</v>
      </c>
      <c r="E438" s="10" t="s">
        <v>14</v>
      </c>
      <c r="F438" s="10" t="s">
        <v>14</v>
      </c>
      <c r="G438" s="10" t="n">
        <v>15</v>
      </c>
      <c r="H438" s="11" t="n">
        <v>367.67</v>
      </c>
      <c r="I438" s="11" t="n">
        <v>8.28</v>
      </c>
      <c r="J438" s="11" t="n">
        <v>25.397</v>
      </c>
    </row>
    <row r="439" customFormat="false" ht="15" hidden="false" customHeight="false" outlineLevel="0" collapsed="false">
      <c r="A439" s="6" t="n">
        <v>14</v>
      </c>
      <c r="B439" s="6" t="s">
        <v>26</v>
      </c>
      <c r="C439" s="7" t="s">
        <v>14</v>
      </c>
      <c r="D439" s="7" t="s">
        <v>12</v>
      </c>
      <c r="E439" s="7" t="s">
        <v>14</v>
      </c>
      <c r="F439" s="7" t="s">
        <v>14</v>
      </c>
      <c r="G439" s="7" t="n">
        <v>16</v>
      </c>
      <c r="H439" s="8" t="n">
        <v>385.94</v>
      </c>
      <c r="I439" s="8" t="n">
        <v>6.85</v>
      </c>
      <c r="J439" s="8" t="n">
        <v>25.445</v>
      </c>
    </row>
    <row r="440" customFormat="false" ht="15" hidden="false" customHeight="false" outlineLevel="0" collapsed="false">
      <c r="A440" s="9" t="n">
        <v>14</v>
      </c>
      <c r="B440" s="9" t="s">
        <v>26</v>
      </c>
      <c r="C440" s="10" t="s">
        <v>14</v>
      </c>
      <c r="D440" s="10" t="s">
        <v>12</v>
      </c>
      <c r="E440" s="10" t="s">
        <v>14</v>
      </c>
      <c r="F440" s="10" t="s">
        <v>14</v>
      </c>
      <c r="G440" s="10" t="n">
        <v>17</v>
      </c>
      <c r="H440" s="11" t="n">
        <v>306.76</v>
      </c>
      <c r="I440" s="11" t="n">
        <v>7.55</v>
      </c>
      <c r="J440" s="11" t="n">
        <v>25.432</v>
      </c>
    </row>
    <row r="441" customFormat="false" ht="15" hidden="false" customHeight="false" outlineLevel="0" collapsed="false">
      <c r="A441" s="6" t="n">
        <v>14</v>
      </c>
      <c r="B441" s="6" t="s">
        <v>26</v>
      </c>
      <c r="C441" s="7" t="s">
        <v>14</v>
      </c>
      <c r="D441" s="7" t="s">
        <v>12</v>
      </c>
      <c r="E441" s="7" t="s">
        <v>14</v>
      </c>
      <c r="F441" s="7" t="s">
        <v>14</v>
      </c>
      <c r="G441" s="7" t="n">
        <v>18</v>
      </c>
      <c r="H441" s="8" t="n">
        <v>416.31</v>
      </c>
      <c r="I441" s="8" t="n">
        <v>8.64</v>
      </c>
      <c r="J441" s="8" t="n">
        <v>25.484</v>
      </c>
    </row>
    <row r="442" customFormat="false" ht="15" hidden="false" customHeight="false" outlineLevel="0" collapsed="false">
      <c r="A442" s="9" t="n">
        <v>14</v>
      </c>
      <c r="B442" s="9" t="s">
        <v>26</v>
      </c>
      <c r="C442" s="10" t="s">
        <v>14</v>
      </c>
      <c r="D442" s="10" t="s">
        <v>12</v>
      </c>
      <c r="E442" s="10" t="s">
        <v>14</v>
      </c>
      <c r="F442" s="10" t="s">
        <v>14</v>
      </c>
      <c r="G442" s="10" t="n">
        <v>19</v>
      </c>
      <c r="H442" s="11" t="n">
        <v>349.39</v>
      </c>
      <c r="I442" s="11" t="n">
        <v>7.84</v>
      </c>
      <c r="J442" s="11" t="n">
        <v>25.395</v>
      </c>
    </row>
    <row r="443" customFormat="false" ht="15" hidden="false" customHeight="false" outlineLevel="0" collapsed="false">
      <c r="A443" s="6" t="n">
        <v>14</v>
      </c>
      <c r="B443" s="6" t="s">
        <v>26</v>
      </c>
      <c r="C443" s="7" t="s">
        <v>14</v>
      </c>
      <c r="D443" s="7" t="s">
        <v>12</v>
      </c>
      <c r="E443" s="7" t="s">
        <v>14</v>
      </c>
      <c r="F443" s="7" t="s">
        <v>14</v>
      </c>
      <c r="G443" s="7" t="n">
        <v>20</v>
      </c>
      <c r="H443" s="8" t="n">
        <v>398.06</v>
      </c>
      <c r="I443" s="8" t="n">
        <v>8.17</v>
      </c>
      <c r="J443" s="8" t="n">
        <v>25.475</v>
      </c>
    </row>
    <row r="444" customFormat="false" ht="15" hidden="false" customHeight="false" outlineLevel="0" collapsed="false">
      <c r="A444" s="9" t="n">
        <v>14</v>
      </c>
      <c r="B444" s="9" t="s">
        <v>26</v>
      </c>
      <c r="C444" s="10" t="s">
        <v>14</v>
      </c>
      <c r="D444" s="10" t="s">
        <v>12</v>
      </c>
      <c r="E444" s="10" t="s">
        <v>14</v>
      </c>
      <c r="F444" s="10" t="s">
        <v>14</v>
      </c>
      <c r="G444" s="10" t="n">
        <v>21</v>
      </c>
      <c r="H444" s="11" t="n">
        <v>502.9</v>
      </c>
      <c r="I444" s="11" t="n">
        <v>7.77</v>
      </c>
      <c r="J444" s="11" t="n">
        <v>25.443</v>
      </c>
    </row>
    <row r="445" customFormat="false" ht="15" hidden="false" customHeight="false" outlineLevel="0" collapsed="false">
      <c r="A445" s="6" t="n">
        <v>14</v>
      </c>
      <c r="B445" s="6" t="s">
        <v>26</v>
      </c>
      <c r="C445" s="7" t="s">
        <v>14</v>
      </c>
      <c r="D445" s="7" t="s">
        <v>12</v>
      </c>
      <c r="E445" s="7" t="s">
        <v>14</v>
      </c>
      <c r="F445" s="7" t="s">
        <v>14</v>
      </c>
      <c r="G445" s="7" t="n">
        <v>22</v>
      </c>
      <c r="H445" s="8" t="n">
        <v>350.42</v>
      </c>
      <c r="I445" s="8" t="n">
        <v>8.46</v>
      </c>
      <c r="J445" s="8" t="n">
        <v>25.412</v>
      </c>
    </row>
    <row r="446" customFormat="false" ht="15" hidden="false" customHeight="false" outlineLevel="0" collapsed="false">
      <c r="A446" s="9" t="n">
        <v>14</v>
      </c>
      <c r="B446" s="9" t="s">
        <v>26</v>
      </c>
      <c r="C446" s="10" t="s">
        <v>14</v>
      </c>
      <c r="D446" s="10" t="s">
        <v>12</v>
      </c>
      <c r="E446" s="10" t="s">
        <v>14</v>
      </c>
      <c r="F446" s="10" t="s">
        <v>14</v>
      </c>
      <c r="G446" s="10" t="n">
        <v>23</v>
      </c>
      <c r="H446" s="11" t="n">
        <v>339.89</v>
      </c>
      <c r="I446" s="11" t="n">
        <v>8.45</v>
      </c>
      <c r="J446" s="11" t="n">
        <v>25.396</v>
      </c>
    </row>
    <row r="447" customFormat="false" ht="15" hidden="false" customHeight="false" outlineLevel="0" collapsed="false">
      <c r="A447" s="6" t="n">
        <v>14</v>
      </c>
      <c r="B447" s="6" t="s">
        <v>26</v>
      </c>
      <c r="C447" s="7" t="s">
        <v>14</v>
      </c>
      <c r="D447" s="7" t="s">
        <v>12</v>
      </c>
      <c r="E447" s="7" t="s">
        <v>14</v>
      </c>
      <c r="F447" s="7" t="s">
        <v>14</v>
      </c>
      <c r="G447" s="7" t="n">
        <v>24</v>
      </c>
      <c r="H447" s="8" t="n">
        <v>403.97</v>
      </c>
      <c r="I447" s="8" t="n">
        <v>7.99</v>
      </c>
      <c r="J447" s="8" t="n">
        <v>25.418</v>
      </c>
    </row>
    <row r="448" customFormat="false" ht="15" hidden="false" customHeight="false" outlineLevel="0" collapsed="false">
      <c r="A448" s="9" t="n">
        <v>14</v>
      </c>
      <c r="B448" s="9" t="s">
        <v>26</v>
      </c>
      <c r="C448" s="10" t="s">
        <v>14</v>
      </c>
      <c r="D448" s="10" t="s">
        <v>12</v>
      </c>
      <c r="E448" s="10" t="s">
        <v>14</v>
      </c>
      <c r="F448" s="10" t="s">
        <v>14</v>
      </c>
      <c r="G448" s="10" t="n">
        <v>25</v>
      </c>
      <c r="H448" s="11" t="n">
        <v>392.24</v>
      </c>
      <c r="I448" s="11" t="n">
        <v>7</v>
      </c>
      <c r="J448" s="11" t="n">
        <v>25.434</v>
      </c>
    </row>
    <row r="449" customFormat="false" ht="15" hidden="false" customHeight="false" outlineLevel="0" collapsed="false">
      <c r="A449" s="6" t="n">
        <v>14</v>
      </c>
      <c r="B449" s="6" t="s">
        <v>26</v>
      </c>
      <c r="C449" s="7" t="s">
        <v>14</v>
      </c>
      <c r="D449" s="7" t="s">
        <v>12</v>
      </c>
      <c r="E449" s="7" t="s">
        <v>14</v>
      </c>
      <c r="F449" s="7" t="s">
        <v>14</v>
      </c>
      <c r="G449" s="7" t="n">
        <v>26</v>
      </c>
      <c r="H449" s="8" t="n">
        <v>317.93</v>
      </c>
      <c r="I449" s="8" t="n">
        <v>6.95</v>
      </c>
      <c r="J449" s="8" t="n">
        <v>25.447</v>
      </c>
    </row>
    <row r="450" customFormat="false" ht="15" hidden="false" customHeight="false" outlineLevel="0" collapsed="false">
      <c r="A450" s="3" t="n">
        <v>15</v>
      </c>
      <c r="B450" s="3" t="s">
        <v>27</v>
      </c>
      <c r="C450" s="4" t="s">
        <v>12</v>
      </c>
      <c r="D450" s="4" t="s">
        <v>14</v>
      </c>
      <c r="E450" s="4" t="s">
        <v>14</v>
      </c>
      <c r="F450" s="4" t="s">
        <v>14</v>
      </c>
      <c r="G450" s="4" t="n">
        <v>1</v>
      </c>
      <c r="H450" s="5" t="n">
        <v>156.22</v>
      </c>
      <c r="I450" s="5" t="n">
        <v>9.03</v>
      </c>
      <c r="J450" s="5" t="n">
        <v>15.225</v>
      </c>
    </row>
    <row r="451" customFormat="false" ht="15" hidden="false" customHeight="false" outlineLevel="0" collapsed="false">
      <c r="A451" s="6" t="n">
        <v>15</v>
      </c>
      <c r="B451" s="6" t="s">
        <v>27</v>
      </c>
      <c r="C451" s="7" t="s">
        <v>12</v>
      </c>
      <c r="D451" s="7" t="s">
        <v>14</v>
      </c>
      <c r="E451" s="7" t="s">
        <v>14</v>
      </c>
      <c r="F451" s="7" t="s">
        <v>14</v>
      </c>
      <c r="G451" s="7" t="n">
        <v>2</v>
      </c>
      <c r="H451" s="8" t="n">
        <v>152.32</v>
      </c>
      <c r="I451" s="8" t="n">
        <v>7.09</v>
      </c>
      <c r="J451" s="8" t="n">
        <v>15.272</v>
      </c>
    </row>
    <row r="452" customFormat="false" ht="15" hidden="false" customHeight="false" outlineLevel="0" collapsed="false">
      <c r="A452" s="3" t="n">
        <v>15</v>
      </c>
      <c r="B452" s="3" t="s">
        <v>27</v>
      </c>
      <c r="C452" s="4" t="s">
        <v>12</v>
      </c>
      <c r="D452" s="4" t="s">
        <v>14</v>
      </c>
      <c r="E452" s="4" t="s">
        <v>14</v>
      </c>
      <c r="F452" s="4" t="s">
        <v>14</v>
      </c>
      <c r="G452" s="4" t="n">
        <v>3</v>
      </c>
      <c r="H452" s="5" t="n">
        <v>155.23</v>
      </c>
      <c r="I452" s="5" t="n">
        <v>7.75</v>
      </c>
      <c r="J452" s="5" t="n">
        <v>15.248</v>
      </c>
    </row>
    <row r="453" customFormat="false" ht="15" hidden="false" customHeight="false" outlineLevel="0" collapsed="false">
      <c r="A453" s="6" t="n">
        <v>15</v>
      </c>
      <c r="B453" s="6" t="s">
        <v>27</v>
      </c>
      <c r="C453" s="7" t="s">
        <v>12</v>
      </c>
      <c r="D453" s="7" t="s">
        <v>14</v>
      </c>
      <c r="E453" s="7" t="s">
        <v>14</v>
      </c>
      <c r="F453" s="7" t="s">
        <v>14</v>
      </c>
      <c r="G453" s="7" t="n">
        <v>4</v>
      </c>
      <c r="H453" s="8" t="n">
        <v>157.96</v>
      </c>
      <c r="I453" s="8" t="n">
        <v>7.36</v>
      </c>
      <c r="J453" s="8" t="n">
        <v>15.225</v>
      </c>
    </row>
    <row r="454" customFormat="false" ht="15" hidden="false" customHeight="false" outlineLevel="0" collapsed="false">
      <c r="A454" s="3" t="n">
        <v>15</v>
      </c>
      <c r="B454" s="3" t="s">
        <v>27</v>
      </c>
      <c r="C454" s="4" t="s">
        <v>12</v>
      </c>
      <c r="D454" s="4" t="s">
        <v>14</v>
      </c>
      <c r="E454" s="4" t="s">
        <v>14</v>
      </c>
      <c r="F454" s="4" t="s">
        <v>14</v>
      </c>
      <c r="G454" s="4" t="n">
        <v>5</v>
      </c>
      <c r="H454" s="5" t="n">
        <v>156.62</v>
      </c>
      <c r="I454" s="5" t="n">
        <v>7.42</v>
      </c>
      <c r="J454" s="5" t="n">
        <v>15.27</v>
      </c>
    </row>
    <row r="455" customFormat="false" ht="15" hidden="false" customHeight="false" outlineLevel="0" collapsed="false">
      <c r="A455" s="6" t="n">
        <v>15</v>
      </c>
      <c r="B455" s="6" t="s">
        <v>27</v>
      </c>
      <c r="C455" s="7" t="s">
        <v>12</v>
      </c>
      <c r="D455" s="7" t="s">
        <v>14</v>
      </c>
      <c r="E455" s="7" t="s">
        <v>14</v>
      </c>
      <c r="F455" s="7" t="s">
        <v>14</v>
      </c>
      <c r="G455" s="7" t="n">
        <v>6</v>
      </c>
      <c r="H455" s="8" t="n">
        <v>156.72</v>
      </c>
      <c r="I455" s="8" t="n">
        <v>8.35</v>
      </c>
      <c r="J455" s="8" t="n">
        <v>15.264</v>
      </c>
    </row>
    <row r="456" customFormat="false" ht="15" hidden="false" customHeight="false" outlineLevel="0" collapsed="false">
      <c r="A456" s="3" t="n">
        <v>15</v>
      </c>
      <c r="B456" s="3" t="s">
        <v>27</v>
      </c>
      <c r="C456" s="4" t="s">
        <v>12</v>
      </c>
      <c r="D456" s="4" t="s">
        <v>14</v>
      </c>
      <c r="E456" s="4" t="s">
        <v>14</v>
      </c>
      <c r="F456" s="4" t="s">
        <v>14</v>
      </c>
      <c r="G456" s="4" t="n">
        <v>7</v>
      </c>
      <c r="H456" s="5" t="n">
        <v>155.38</v>
      </c>
      <c r="I456" s="5" t="n">
        <v>9.31</v>
      </c>
      <c r="J456" s="5" t="n">
        <v>15.26</v>
      </c>
    </row>
    <row r="457" customFormat="false" ht="15" hidden="false" customHeight="false" outlineLevel="0" collapsed="false">
      <c r="A457" s="6" t="n">
        <v>15</v>
      </c>
      <c r="B457" s="6" t="s">
        <v>27</v>
      </c>
      <c r="C457" s="7" t="s">
        <v>12</v>
      </c>
      <c r="D457" s="7" t="s">
        <v>14</v>
      </c>
      <c r="E457" s="7" t="s">
        <v>14</v>
      </c>
      <c r="F457" s="7" t="s">
        <v>14</v>
      </c>
      <c r="G457" s="7" t="n">
        <v>8</v>
      </c>
      <c r="H457" s="8" t="n">
        <v>153.37</v>
      </c>
      <c r="I457" s="8" t="n">
        <v>7.8</v>
      </c>
      <c r="J457" s="8" t="n">
        <v>15.249</v>
      </c>
    </row>
    <row r="458" customFormat="false" ht="15" hidden="false" customHeight="false" outlineLevel="0" collapsed="false">
      <c r="A458" s="3" t="n">
        <v>15</v>
      </c>
      <c r="B458" s="3" t="s">
        <v>27</v>
      </c>
      <c r="C458" s="4" t="s">
        <v>12</v>
      </c>
      <c r="D458" s="4" t="s">
        <v>14</v>
      </c>
      <c r="E458" s="4" t="s">
        <v>14</v>
      </c>
      <c r="F458" s="4" t="s">
        <v>14</v>
      </c>
      <c r="G458" s="4" t="n">
        <v>9</v>
      </c>
      <c r="H458" s="5" t="n">
        <v>157.55</v>
      </c>
      <c r="I458" s="5" t="n">
        <v>9.09</v>
      </c>
      <c r="J458" s="5" t="n">
        <v>15.261</v>
      </c>
    </row>
    <row r="459" customFormat="false" ht="15" hidden="false" customHeight="false" outlineLevel="0" collapsed="false">
      <c r="A459" s="6" t="n">
        <v>15</v>
      </c>
      <c r="B459" s="6" t="s">
        <v>27</v>
      </c>
      <c r="C459" s="7" t="s">
        <v>12</v>
      </c>
      <c r="D459" s="7" t="s">
        <v>14</v>
      </c>
      <c r="E459" s="7" t="s">
        <v>14</v>
      </c>
      <c r="F459" s="7" t="s">
        <v>14</v>
      </c>
      <c r="G459" s="7" t="n">
        <v>10</v>
      </c>
      <c r="H459" s="8" t="n">
        <v>155.16</v>
      </c>
      <c r="I459" s="8" t="n">
        <v>7.04</v>
      </c>
      <c r="J459" s="8" t="n">
        <v>15.248</v>
      </c>
    </row>
    <row r="460" customFormat="false" ht="15" hidden="false" customHeight="false" outlineLevel="0" collapsed="false">
      <c r="A460" s="3" t="n">
        <v>15</v>
      </c>
      <c r="B460" s="3" t="s">
        <v>27</v>
      </c>
      <c r="C460" s="4" t="s">
        <v>12</v>
      </c>
      <c r="D460" s="4" t="s">
        <v>14</v>
      </c>
      <c r="E460" s="4" t="s">
        <v>14</v>
      </c>
      <c r="F460" s="4" t="s">
        <v>14</v>
      </c>
      <c r="G460" s="4" t="n">
        <v>11</v>
      </c>
      <c r="H460" s="5" t="n">
        <v>155.59</v>
      </c>
      <c r="I460" s="5" t="n">
        <v>6.35</v>
      </c>
      <c r="J460" s="5" t="n">
        <v>15.27</v>
      </c>
    </row>
    <row r="461" customFormat="false" ht="15" hidden="false" customHeight="false" outlineLevel="0" collapsed="false">
      <c r="A461" s="6" t="n">
        <v>15</v>
      </c>
      <c r="B461" s="6" t="s">
        <v>27</v>
      </c>
      <c r="C461" s="7" t="s">
        <v>12</v>
      </c>
      <c r="D461" s="7" t="s">
        <v>14</v>
      </c>
      <c r="E461" s="7" t="s">
        <v>14</v>
      </c>
      <c r="F461" s="7" t="s">
        <v>14</v>
      </c>
      <c r="G461" s="7" t="n">
        <v>12</v>
      </c>
      <c r="H461" s="8" t="n">
        <v>156.12</v>
      </c>
      <c r="I461" s="8" t="n">
        <v>8.54</v>
      </c>
      <c r="J461" s="8" t="n">
        <v>15.237</v>
      </c>
    </row>
    <row r="462" customFormat="false" ht="15" hidden="false" customHeight="false" outlineLevel="0" collapsed="false">
      <c r="A462" s="3" t="n">
        <v>15</v>
      </c>
      <c r="B462" s="3" t="s">
        <v>27</v>
      </c>
      <c r="C462" s="4" t="s">
        <v>12</v>
      </c>
      <c r="D462" s="4" t="s">
        <v>14</v>
      </c>
      <c r="E462" s="4" t="s">
        <v>14</v>
      </c>
      <c r="F462" s="4" t="s">
        <v>14</v>
      </c>
      <c r="G462" s="4" t="n">
        <v>13</v>
      </c>
      <c r="H462" s="5" t="n">
        <v>156.87</v>
      </c>
      <c r="I462" s="5" t="n">
        <v>6.61</v>
      </c>
      <c r="J462" s="5" t="n">
        <v>15.224</v>
      </c>
    </row>
    <row r="463" customFormat="false" ht="15" hidden="false" customHeight="false" outlineLevel="0" collapsed="false">
      <c r="A463" s="6" t="n">
        <v>15</v>
      </c>
      <c r="B463" s="6" t="s">
        <v>27</v>
      </c>
      <c r="C463" s="7" t="s">
        <v>12</v>
      </c>
      <c r="D463" s="7" t="s">
        <v>14</v>
      </c>
      <c r="E463" s="7" t="s">
        <v>14</v>
      </c>
      <c r="F463" s="7" t="s">
        <v>14</v>
      </c>
      <c r="G463" s="7" t="n">
        <v>14</v>
      </c>
      <c r="H463" s="8" t="n">
        <v>155.85</v>
      </c>
      <c r="I463" s="8" t="n">
        <v>8.31</v>
      </c>
      <c r="J463" s="8" t="n">
        <v>15.28</v>
      </c>
    </row>
    <row r="464" customFormat="false" ht="15" hidden="false" customHeight="false" outlineLevel="0" collapsed="false">
      <c r="A464" s="3" t="n">
        <v>15</v>
      </c>
      <c r="B464" s="3" t="s">
        <v>27</v>
      </c>
      <c r="C464" s="4" t="s">
        <v>12</v>
      </c>
      <c r="D464" s="4" t="s">
        <v>14</v>
      </c>
      <c r="E464" s="4" t="s">
        <v>14</v>
      </c>
      <c r="F464" s="4" t="s">
        <v>14</v>
      </c>
      <c r="G464" s="4" t="n">
        <v>15</v>
      </c>
      <c r="H464" s="5" t="n">
        <v>155.35</v>
      </c>
      <c r="I464" s="5" t="n">
        <v>8.16</v>
      </c>
      <c r="J464" s="5" t="n">
        <v>15.285</v>
      </c>
    </row>
    <row r="465" customFormat="false" ht="15" hidden="false" customHeight="false" outlineLevel="0" collapsed="false">
      <c r="A465" s="6" t="n">
        <v>15</v>
      </c>
      <c r="B465" s="6" t="s">
        <v>27</v>
      </c>
      <c r="C465" s="7" t="s">
        <v>12</v>
      </c>
      <c r="D465" s="7" t="s">
        <v>14</v>
      </c>
      <c r="E465" s="7" t="s">
        <v>14</v>
      </c>
      <c r="F465" s="7" t="s">
        <v>14</v>
      </c>
      <c r="G465" s="7" t="n">
        <v>16</v>
      </c>
      <c r="H465" s="8" t="n">
        <v>155.34</v>
      </c>
      <c r="I465" s="8" t="n">
        <v>8.02</v>
      </c>
      <c r="J465" s="8" t="n">
        <v>15.258</v>
      </c>
    </row>
    <row r="466" customFormat="false" ht="15" hidden="false" customHeight="false" outlineLevel="0" collapsed="false">
      <c r="A466" s="3" t="n">
        <v>15</v>
      </c>
      <c r="B466" s="3" t="s">
        <v>27</v>
      </c>
      <c r="C466" s="4" t="s">
        <v>12</v>
      </c>
      <c r="D466" s="4" t="s">
        <v>14</v>
      </c>
      <c r="E466" s="4" t="s">
        <v>14</v>
      </c>
      <c r="F466" s="4" t="s">
        <v>14</v>
      </c>
      <c r="G466" s="4" t="n">
        <v>17</v>
      </c>
      <c r="H466" s="5" t="n">
        <v>155.57</v>
      </c>
      <c r="I466" s="5" t="n">
        <v>6.89</v>
      </c>
      <c r="J466" s="5" t="n">
        <v>15.229</v>
      </c>
    </row>
    <row r="467" customFormat="false" ht="15" hidden="false" customHeight="false" outlineLevel="0" collapsed="false">
      <c r="A467" s="6" t="n">
        <v>15</v>
      </c>
      <c r="B467" s="6" t="s">
        <v>27</v>
      </c>
      <c r="C467" s="7" t="s">
        <v>12</v>
      </c>
      <c r="D467" s="7" t="s">
        <v>14</v>
      </c>
      <c r="E467" s="7" t="s">
        <v>14</v>
      </c>
      <c r="F467" s="7" t="s">
        <v>14</v>
      </c>
      <c r="G467" s="7" t="n">
        <v>18</v>
      </c>
      <c r="H467" s="8" t="n">
        <v>154.69</v>
      </c>
      <c r="I467" s="8" t="n">
        <v>7.67</v>
      </c>
      <c r="J467" s="8" t="n">
        <v>15.274</v>
      </c>
    </row>
    <row r="468" customFormat="false" ht="15" hidden="false" customHeight="false" outlineLevel="0" collapsed="false">
      <c r="A468" s="3" t="n">
        <v>15</v>
      </c>
      <c r="B468" s="3" t="s">
        <v>27</v>
      </c>
      <c r="C468" s="4" t="s">
        <v>12</v>
      </c>
      <c r="D468" s="4" t="s">
        <v>14</v>
      </c>
      <c r="E468" s="4" t="s">
        <v>14</v>
      </c>
      <c r="F468" s="4" t="s">
        <v>14</v>
      </c>
      <c r="G468" s="4" t="n">
        <v>19</v>
      </c>
      <c r="H468" s="5" t="n">
        <v>157.85</v>
      </c>
      <c r="I468" s="5" t="n">
        <v>8.36</v>
      </c>
      <c r="J468" s="5" t="n">
        <v>15.266</v>
      </c>
    </row>
    <row r="469" customFormat="false" ht="15" hidden="false" customHeight="false" outlineLevel="0" collapsed="false">
      <c r="A469" s="6" t="n">
        <v>15</v>
      </c>
      <c r="B469" s="6" t="s">
        <v>27</v>
      </c>
      <c r="C469" s="7" t="s">
        <v>12</v>
      </c>
      <c r="D469" s="7" t="s">
        <v>14</v>
      </c>
      <c r="E469" s="7" t="s">
        <v>14</v>
      </c>
      <c r="F469" s="7" t="s">
        <v>14</v>
      </c>
      <c r="G469" s="7" t="n">
        <v>20</v>
      </c>
      <c r="H469" s="8" t="n">
        <v>157.32</v>
      </c>
      <c r="I469" s="8" t="n">
        <v>7.48</v>
      </c>
      <c r="J469" s="8" t="n">
        <v>15.269</v>
      </c>
    </row>
    <row r="470" customFormat="false" ht="15" hidden="false" customHeight="false" outlineLevel="0" collapsed="false">
      <c r="A470" s="3" t="n">
        <v>15</v>
      </c>
      <c r="B470" s="3" t="s">
        <v>27</v>
      </c>
      <c r="C470" s="4" t="s">
        <v>12</v>
      </c>
      <c r="D470" s="4" t="s">
        <v>14</v>
      </c>
      <c r="E470" s="4" t="s">
        <v>14</v>
      </c>
      <c r="F470" s="4" t="s">
        <v>14</v>
      </c>
      <c r="G470" s="4" t="n">
        <v>21</v>
      </c>
      <c r="H470" s="5" t="n">
        <v>156.57</v>
      </c>
      <c r="I470" s="5" t="n">
        <v>7.84</v>
      </c>
      <c r="J470" s="5" t="n">
        <v>15.259</v>
      </c>
    </row>
    <row r="471" customFormat="false" ht="15" hidden="false" customHeight="false" outlineLevel="0" collapsed="false">
      <c r="A471" s="6" t="n">
        <v>15</v>
      </c>
      <c r="B471" s="6" t="s">
        <v>27</v>
      </c>
      <c r="C471" s="7" t="s">
        <v>12</v>
      </c>
      <c r="D471" s="7" t="s">
        <v>14</v>
      </c>
      <c r="E471" s="7" t="s">
        <v>14</v>
      </c>
      <c r="F471" s="7" t="s">
        <v>14</v>
      </c>
      <c r="G471" s="7" t="n">
        <v>22</v>
      </c>
      <c r="H471" s="8" t="n">
        <v>155.8</v>
      </c>
      <c r="I471" s="8" t="n">
        <v>9.27</v>
      </c>
      <c r="J471" s="8" t="n">
        <v>15.263</v>
      </c>
    </row>
    <row r="472" customFormat="false" ht="15" hidden="false" customHeight="false" outlineLevel="0" collapsed="false">
      <c r="A472" s="3" t="n">
        <v>15</v>
      </c>
      <c r="B472" s="3" t="s">
        <v>27</v>
      </c>
      <c r="C472" s="4" t="s">
        <v>12</v>
      </c>
      <c r="D472" s="4" t="s">
        <v>14</v>
      </c>
      <c r="E472" s="4" t="s">
        <v>14</v>
      </c>
      <c r="F472" s="4" t="s">
        <v>14</v>
      </c>
      <c r="G472" s="4" t="n">
        <v>23</v>
      </c>
      <c r="H472" s="5" t="n">
        <v>153.88</v>
      </c>
      <c r="I472" s="5" t="n">
        <v>7.34</v>
      </c>
      <c r="J472" s="5" t="n">
        <v>15.259</v>
      </c>
    </row>
    <row r="473" customFormat="false" ht="15" hidden="false" customHeight="false" outlineLevel="0" collapsed="false">
      <c r="A473" s="6" t="n">
        <v>15</v>
      </c>
      <c r="B473" s="6" t="s">
        <v>27</v>
      </c>
      <c r="C473" s="7" t="s">
        <v>12</v>
      </c>
      <c r="D473" s="7" t="s">
        <v>14</v>
      </c>
      <c r="E473" s="7" t="s">
        <v>14</v>
      </c>
      <c r="F473" s="7" t="s">
        <v>14</v>
      </c>
      <c r="G473" s="7" t="n">
        <v>24</v>
      </c>
      <c r="H473" s="8" t="n">
        <v>156.64</v>
      </c>
      <c r="I473" s="8" t="n">
        <v>8.71</v>
      </c>
      <c r="J473" s="8" t="n">
        <v>15.245</v>
      </c>
    </row>
    <row r="474" customFormat="false" ht="15" hidden="false" customHeight="false" outlineLevel="0" collapsed="false">
      <c r="A474" s="3" t="n">
        <v>15</v>
      </c>
      <c r="B474" s="3" t="s">
        <v>27</v>
      </c>
      <c r="C474" s="4" t="s">
        <v>12</v>
      </c>
      <c r="D474" s="4" t="s">
        <v>14</v>
      </c>
      <c r="E474" s="4" t="s">
        <v>14</v>
      </c>
      <c r="F474" s="4" t="s">
        <v>14</v>
      </c>
      <c r="G474" s="4" t="n">
        <v>25</v>
      </c>
      <c r="H474" s="5" t="n">
        <v>155.79</v>
      </c>
      <c r="I474" s="5" t="n">
        <v>7.85</v>
      </c>
      <c r="J474" s="5" t="n">
        <v>15.265</v>
      </c>
    </row>
    <row r="475" customFormat="false" ht="15" hidden="false" customHeight="false" outlineLevel="0" collapsed="false">
      <c r="A475" s="9" t="n">
        <v>16</v>
      </c>
      <c r="B475" s="9" t="s">
        <v>28</v>
      </c>
      <c r="C475" s="10" t="s">
        <v>14</v>
      </c>
      <c r="D475" s="10" t="s">
        <v>14</v>
      </c>
      <c r="E475" s="10" t="s">
        <v>14</v>
      </c>
      <c r="F475" s="10" t="s">
        <v>14</v>
      </c>
      <c r="G475" s="10" t="n">
        <v>1</v>
      </c>
      <c r="H475" s="11" t="n">
        <v>155.31</v>
      </c>
      <c r="I475" s="11" t="n">
        <v>8.93</v>
      </c>
      <c r="J475" s="11" t="n">
        <v>25.448</v>
      </c>
    </row>
    <row r="476" customFormat="false" ht="15" hidden="false" customHeight="false" outlineLevel="0" collapsed="false">
      <c r="A476" s="6" t="n">
        <v>16</v>
      </c>
      <c r="B476" s="6" t="s">
        <v>28</v>
      </c>
      <c r="C476" s="7" t="s">
        <v>14</v>
      </c>
      <c r="D476" s="7" t="s">
        <v>14</v>
      </c>
      <c r="E476" s="7" t="s">
        <v>14</v>
      </c>
      <c r="F476" s="7" t="s">
        <v>14</v>
      </c>
      <c r="G476" s="7" t="n">
        <v>2</v>
      </c>
      <c r="H476" s="8" t="n">
        <v>155.97</v>
      </c>
      <c r="I476" s="8" t="n">
        <v>7.02</v>
      </c>
      <c r="J476" s="8" t="n">
        <v>25.435</v>
      </c>
    </row>
    <row r="477" customFormat="false" ht="15" hidden="false" customHeight="false" outlineLevel="0" collapsed="false">
      <c r="A477" s="9" t="n">
        <v>16</v>
      </c>
      <c r="B477" s="9" t="s">
        <v>28</v>
      </c>
      <c r="C477" s="10" t="s">
        <v>14</v>
      </c>
      <c r="D477" s="10" t="s">
        <v>14</v>
      </c>
      <c r="E477" s="10" t="s">
        <v>14</v>
      </c>
      <c r="F477" s="10" t="s">
        <v>14</v>
      </c>
      <c r="G477" s="10" t="n">
        <v>3</v>
      </c>
      <c r="H477" s="11" t="n">
        <v>155.19</v>
      </c>
      <c r="I477" s="11" t="n">
        <v>6.78</v>
      </c>
      <c r="J477" s="11" t="n">
        <v>25.413</v>
      </c>
    </row>
    <row r="478" customFormat="false" ht="15" hidden="false" customHeight="false" outlineLevel="0" collapsed="false">
      <c r="A478" s="6" t="n">
        <v>16</v>
      </c>
      <c r="B478" s="6" t="s">
        <v>28</v>
      </c>
      <c r="C478" s="7" t="s">
        <v>14</v>
      </c>
      <c r="D478" s="7" t="s">
        <v>14</v>
      </c>
      <c r="E478" s="7" t="s">
        <v>14</v>
      </c>
      <c r="F478" s="7" t="s">
        <v>14</v>
      </c>
      <c r="G478" s="7" t="n">
        <v>4</v>
      </c>
      <c r="H478" s="8" t="n">
        <v>154.96</v>
      </c>
      <c r="I478" s="8" t="n">
        <v>7.84</v>
      </c>
      <c r="J478" s="8" t="n">
        <v>25.493</v>
      </c>
    </row>
    <row r="479" customFormat="false" ht="15" hidden="false" customHeight="false" outlineLevel="0" collapsed="false">
      <c r="A479" s="9" t="n">
        <v>16</v>
      </c>
      <c r="B479" s="9" t="s">
        <v>28</v>
      </c>
      <c r="C479" s="10" t="s">
        <v>14</v>
      </c>
      <c r="D479" s="10" t="s">
        <v>14</v>
      </c>
      <c r="E479" s="10" t="s">
        <v>14</v>
      </c>
      <c r="F479" s="10" t="s">
        <v>14</v>
      </c>
      <c r="G479" s="10" t="n">
        <v>5</v>
      </c>
      <c r="H479" s="11" t="n">
        <v>155.3</v>
      </c>
      <c r="I479" s="11" t="n">
        <v>8.85</v>
      </c>
      <c r="J479" s="11" t="n">
        <v>25.416</v>
      </c>
    </row>
    <row r="480" customFormat="false" ht="15" hidden="false" customHeight="false" outlineLevel="0" collapsed="false">
      <c r="A480" s="6" t="n">
        <v>16</v>
      </c>
      <c r="B480" s="6" t="s">
        <v>28</v>
      </c>
      <c r="C480" s="7" t="s">
        <v>14</v>
      </c>
      <c r="D480" s="7" t="s">
        <v>14</v>
      </c>
      <c r="E480" s="7" t="s">
        <v>14</v>
      </c>
      <c r="F480" s="7" t="s">
        <v>14</v>
      </c>
      <c r="G480" s="7" t="n">
        <v>6</v>
      </c>
      <c r="H480" s="8" t="n">
        <v>155.12</v>
      </c>
      <c r="I480" s="8" t="n">
        <v>7.62</v>
      </c>
      <c r="J480" s="8" t="n">
        <v>25.389</v>
      </c>
    </row>
    <row r="481" customFormat="false" ht="15" hidden="false" customHeight="false" outlineLevel="0" collapsed="false">
      <c r="A481" s="9" t="n">
        <v>16</v>
      </c>
      <c r="B481" s="9" t="s">
        <v>28</v>
      </c>
      <c r="C481" s="10" t="s">
        <v>14</v>
      </c>
      <c r="D481" s="10" t="s">
        <v>14</v>
      </c>
      <c r="E481" s="10" t="s">
        <v>14</v>
      </c>
      <c r="F481" s="10" t="s">
        <v>14</v>
      </c>
      <c r="G481" s="10" t="n">
        <v>7</v>
      </c>
      <c r="H481" s="11" t="n">
        <v>154.22</v>
      </c>
      <c r="I481" s="11" t="n">
        <v>8.44</v>
      </c>
      <c r="J481" s="11" t="n">
        <v>25.405</v>
      </c>
    </row>
    <row r="482" customFormat="false" ht="15" hidden="false" customHeight="false" outlineLevel="0" collapsed="false">
      <c r="A482" s="6" t="n">
        <v>16</v>
      </c>
      <c r="B482" s="6" t="s">
        <v>28</v>
      </c>
      <c r="C482" s="7" t="s">
        <v>14</v>
      </c>
      <c r="D482" s="7" t="s">
        <v>14</v>
      </c>
      <c r="E482" s="7" t="s">
        <v>14</v>
      </c>
      <c r="F482" s="7" t="s">
        <v>14</v>
      </c>
      <c r="G482" s="7" t="n">
        <v>8</v>
      </c>
      <c r="H482" s="8" t="n">
        <v>155.07</v>
      </c>
      <c r="I482" s="8" t="n">
        <v>6.74</v>
      </c>
      <c r="J482" s="8" t="n">
        <v>25.441</v>
      </c>
    </row>
    <row r="483" customFormat="false" ht="15" hidden="false" customHeight="false" outlineLevel="0" collapsed="false">
      <c r="A483" s="9" t="n">
        <v>16</v>
      </c>
      <c r="B483" s="9" t="s">
        <v>28</v>
      </c>
      <c r="C483" s="10" t="s">
        <v>14</v>
      </c>
      <c r="D483" s="10" t="s">
        <v>14</v>
      </c>
      <c r="E483" s="10" t="s">
        <v>14</v>
      </c>
      <c r="F483" s="10" t="s">
        <v>14</v>
      </c>
      <c r="G483" s="10" t="n">
        <v>9</v>
      </c>
      <c r="H483" s="11" t="n">
        <v>154.32</v>
      </c>
      <c r="I483" s="11" t="n">
        <v>7.76</v>
      </c>
      <c r="J483" s="11" t="n">
        <v>25.445</v>
      </c>
    </row>
    <row r="484" customFormat="false" ht="15" hidden="false" customHeight="false" outlineLevel="0" collapsed="false">
      <c r="A484" s="6" t="n">
        <v>16</v>
      </c>
      <c r="B484" s="6" t="s">
        <v>28</v>
      </c>
      <c r="C484" s="7" t="s">
        <v>14</v>
      </c>
      <c r="D484" s="7" t="s">
        <v>14</v>
      </c>
      <c r="E484" s="7" t="s">
        <v>14</v>
      </c>
      <c r="F484" s="7" t="s">
        <v>14</v>
      </c>
      <c r="G484" s="7" t="n">
        <v>10</v>
      </c>
      <c r="H484" s="8" t="n">
        <v>157.69</v>
      </c>
      <c r="I484" s="8" t="n">
        <v>7.94</v>
      </c>
      <c r="J484" s="8" t="n">
        <v>25.428</v>
      </c>
    </row>
    <row r="485" customFormat="false" ht="15" hidden="false" customHeight="false" outlineLevel="0" collapsed="false">
      <c r="A485" s="9" t="n">
        <v>16</v>
      </c>
      <c r="B485" s="9" t="s">
        <v>28</v>
      </c>
      <c r="C485" s="10" t="s">
        <v>14</v>
      </c>
      <c r="D485" s="10" t="s">
        <v>14</v>
      </c>
      <c r="E485" s="10" t="s">
        <v>14</v>
      </c>
      <c r="F485" s="10" t="s">
        <v>14</v>
      </c>
      <c r="G485" s="10" t="n">
        <v>11</v>
      </c>
      <c r="H485" s="11" t="n">
        <v>156.35</v>
      </c>
      <c r="I485" s="11" t="n">
        <v>8.95</v>
      </c>
      <c r="J485" s="11" t="n">
        <v>25.504</v>
      </c>
    </row>
    <row r="486" customFormat="false" ht="15" hidden="false" customHeight="false" outlineLevel="0" collapsed="false">
      <c r="A486" s="6" t="n">
        <v>16</v>
      </c>
      <c r="B486" s="6" t="s">
        <v>28</v>
      </c>
      <c r="C486" s="7" t="s">
        <v>14</v>
      </c>
      <c r="D486" s="7" t="s">
        <v>14</v>
      </c>
      <c r="E486" s="7" t="s">
        <v>14</v>
      </c>
      <c r="F486" s="7" t="s">
        <v>14</v>
      </c>
      <c r="G486" s="7" t="n">
        <v>12</v>
      </c>
      <c r="H486" s="8" t="n">
        <v>158.21</v>
      </c>
      <c r="I486" s="8" t="n">
        <v>8.05</v>
      </c>
      <c r="J486" s="8" t="n">
        <v>25.406</v>
      </c>
    </row>
    <row r="487" customFormat="false" ht="15" hidden="false" customHeight="false" outlineLevel="0" collapsed="false">
      <c r="A487" s="9" t="n">
        <v>16</v>
      </c>
      <c r="B487" s="9" t="s">
        <v>28</v>
      </c>
      <c r="C487" s="10" t="s">
        <v>14</v>
      </c>
      <c r="D487" s="10" t="s">
        <v>14</v>
      </c>
      <c r="E487" s="10" t="s">
        <v>14</v>
      </c>
      <c r="F487" s="10" t="s">
        <v>14</v>
      </c>
      <c r="G487" s="10" t="n">
        <v>13</v>
      </c>
      <c r="H487" s="11" t="n">
        <v>155.65</v>
      </c>
      <c r="I487" s="11" t="n">
        <v>8.57</v>
      </c>
      <c r="J487" s="11" t="n">
        <v>25.405</v>
      </c>
    </row>
    <row r="488" customFormat="false" ht="15" hidden="false" customHeight="false" outlineLevel="0" collapsed="false">
      <c r="A488" s="6" t="n">
        <v>16</v>
      </c>
      <c r="B488" s="6" t="s">
        <v>28</v>
      </c>
      <c r="C488" s="7" t="s">
        <v>14</v>
      </c>
      <c r="D488" s="7" t="s">
        <v>14</v>
      </c>
      <c r="E488" s="7" t="s">
        <v>14</v>
      </c>
      <c r="F488" s="7" t="s">
        <v>14</v>
      </c>
      <c r="G488" s="7" t="n">
        <v>14</v>
      </c>
      <c r="H488" s="8" t="n">
        <v>156.18</v>
      </c>
      <c r="I488" s="8" t="n">
        <v>7.75</v>
      </c>
      <c r="J488" s="8" t="n">
        <v>25.425</v>
      </c>
    </row>
    <row r="489" customFormat="false" ht="15" hidden="false" customHeight="false" outlineLevel="0" collapsed="false">
      <c r="A489" s="9" t="n">
        <v>16</v>
      </c>
      <c r="B489" s="9" t="s">
        <v>28</v>
      </c>
      <c r="C489" s="10" t="s">
        <v>14</v>
      </c>
      <c r="D489" s="10" t="s">
        <v>14</v>
      </c>
      <c r="E489" s="10" t="s">
        <v>14</v>
      </c>
      <c r="F489" s="10" t="s">
        <v>14</v>
      </c>
      <c r="G489" s="10" t="n">
        <v>15</v>
      </c>
      <c r="H489" s="11" t="n">
        <v>153.43</v>
      </c>
      <c r="I489" s="11" t="n">
        <v>7.44</v>
      </c>
      <c r="J489" s="11" t="n">
        <v>25.412</v>
      </c>
    </row>
    <row r="490" customFormat="false" ht="15" hidden="false" customHeight="false" outlineLevel="0" collapsed="false">
      <c r="A490" s="6" t="n">
        <v>16</v>
      </c>
      <c r="B490" s="6" t="s">
        <v>28</v>
      </c>
      <c r="C490" s="7" t="s">
        <v>14</v>
      </c>
      <c r="D490" s="7" t="s">
        <v>14</v>
      </c>
      <c r="E490" s="7" t="s">
        <v>14</v>
      </c>
      <c r="F490" s="7" t="s">
        <v>14</v>
      </c>
      <c r="G490" s="7" t="n">
        <v>16</v>
      </c>
      <c r="H490" s="8" t="n">
        <v>154.99</v>
      </c>
      <c r="I490" s="8" t="n">
        <v>8.18</v>
      </c>
      <c r="J490" s="8" t="n">
        <v>25.468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"/>
    <col collapsed="false" customWidth="true" hidden="false" outlineLevel="0" max="3" min="3" style="0" width="5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8" min="7" style="0" width="8"/>
    <col collapsed="false" customWidth="true" hidden="false" outlineLevel="0" max="9" min="9" style="0" width="22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6" min="15" style="0" width="8"/>
    <col collapsed="false" customWidth="true" hidden="false" outlineLevel="0" max="17" min="17" style="0" width="22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11"/>
    <col collapsed="false" customWidth="true" hidden="false" outlineLevel="0" max="22" min="22" style="0" width="9"/>
    <col collapsed="false" customWidth="true" hidden="false" outlineLevel="0" max="24" min="23" style="0" width="8"/>
    <col collapsed="false" customWidth="true" hidden="false" outlineLevel="0" max="25" min="25" style="0" width="22"/>
    <col collapsed="false" customWidth="true" hidden="false" outlineLevel="0" max="26" min="26" style="0" width="9"/>
    <col collapsed="false" customWidth="true" hidden="false" outlineLevel="0" max="28" min="27" style="0" width="8"/>
    <col collapsed="false" customWidth="true" hidden="false" outlineLevel="0" max="29" min="29" style="0" width="6"/>
  </cols>
  <sheetData>
    <row r="1" customFormat="false" ht="1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5" hidden="false" customHeight="true" outlineLevel="0" collapsed="false">
      <c r="A2" s="12" t="s">
        <v>30</v>
      </c>
      <c r="B2" s="12"/>
      <c r="C2" s="12"/>
      <c r="D2" s="13" t="s">
        <v>31</v>
      </c>
      <c r="E2" s="13"/>
      <c r="F2" s="13"/>
      <c r="G2" s="13"/>
      <c r="H2" s="13"/>
      <c r="I2" s="13"/>
      <c r="J2" s="13"/>
      <c r="K2" s="13"/>
      <c r="L2" s="14" t="s">
        <v>32</v>
      </c>
      <c r="M2" s="14"/>
      <c r="N2" s="14"/>
      <c r="O2" s="14"/>
      <c r="P2" s="14"/>
      <c r="Q2" s="14"/>
      <c r="R2" s="14"/>
      <c r="S2" s="14"/>
      <c r="T2" s="15" t="s">
        <v>33</v>
      </c>
      <c r="U2" s="15"/>
      <c r="V2" s="15"/>
      <c r="W2" s="15"/>
      <c r="X2" s="15"/>
      <c r="Y2" s="15"/>
      <c r="Z2" s="15"/>
      <c r="AA2" s="15"/>
      <c r="AB2" s="16" t="s">
        <v>34</v>
      </c>
      <c r="AC2" s="16"/>
    </row>
    <row r="3" customFormat="false" ht="30" hidden="false" customHeight="true" outlineLevel="0" collapsed="false">
      <c r="A3" s="17" t="s">
        <v>1</v>
      </c>
      <c r="B3" s="17" t="s">
        <v>2</v>
      </c>
      <c r="C3" s="17" t="s">
        <v>35</v>
      </c>
      <c r="D3" s="18" t="s">
        <v>36</v>
      </c>
      <c r="E3" s="18" t="s">
        <v>37</v>
      </c>
      <c r="F3" s="18" t="s">
        <v>38</v>
      </c>
      <c r="G3" s="18" t="s">
        <v>39</v>
      </c>
      <c r="H3" s="18" t="s">
        <v>40</v>
      </c>
      <c r="I3" s="18" t="s">
        <v>41</v>
      </c>
      <c r="J3" s="18" t="s">
        <v>42</v>
      </c>
      <c r="K3" s="18" t="s">
        <v>43</v>
      </c>
      <c r="L3" s="19" t="s">
        <v>36</v>
      </c>
      <c r="M3" s="19" t="s">
        <v>37</v>
      </c>
      <c r="N3" s="19" t="s">
        <v>38</v>
      </c>
      <c r="O3" s="19" t="s">
        <v>39</v>
      </c>
      <c r="P3" s="19" t="s">
        <v>40</v>
      </c>
      <c r="Q3" s="19" t="s">
        <v>41</v>
      </c>
      <c r="R3" s="19" t="s">
        <v>42</v>
      </c>
      <c r="S3" s="19" t="s">
        <v>43</v>
      </c>
      <c r="T3" s="20" t="s">
        <v>36</v>
      </c>
      <c r="U3" s="20" t="s">
        <v>37</v>
      </c>
      <c r="V3" s="20" t="s">
        <v>38</v>
      </c>
      <c r="W3" s="20" t="s">
        <v>39</v>
      </c>
      <c r="X3" s="20" t="s">
        <v>40</v>
      </c>
      <c r="Y3" s="20" t="s">
        <v>41</v>
      </c>
      <c r="Z3" s="20" t="s">
        <v>42</v>
      </c>
      <c r="AA3" s="20" t="s">
        <v>43</v>
      </c>
      <c r="AB3" s="21" t="s">
        <v>44</v>
      </c>
      <c r="AC3" s="21" t="s">
        <v>45</v>
      </c>
    </row>
    <row r="4" customFormat="false" ht="15.75" hidden="false" customHeight="true" outlineLevel="0" collapsed="false">
      <c r="A4" s="6" t="n">
        <v>1</v>
      </c>
      <c r="B4" s="6" t="s">
        <v>11</v>
      </c>
      <c r="C4" s="7" t="n">
        <v>15</v>
      </c>
      <c r="D4" s="22" t="n">
        <f aca="false">AVERAGE(1_Repliques!H3:H17)</f>
        <v>688.376</v>
      </c>
      <c r="E4" s="8" t="n">
        <f aca="false">VAR(1_Repliques!H3:H17)</f>
        <v>2825.68272571429</v>
      </c>
      <c r="F4" s="8" t="n">
        <f aca="false">STDEV(1_Repliques!H3:H17)</f>
        <v>53.1571512189497</v>
      </c>
      <c r="G4" s="8" t="n">
        <f aca="false">MIN(1_Repliques!H3:H17)</f>
        <v>612.01</v>
      </c>
      <c r="H4" s="8" t="n">
        <f aca="false">MAX(1_Repliques!H3:H17)</f>
        <v>813.65</v>
      </c>
      <c r="I4" s="23" t="str">
        <f aca="false">TEXT(D4-TINV(0.05,15-1)*F4/SQRT(15),"0.00")&amp;" - "&amp;TEXT(D4+TINV(0.05,15-1)*F4/SQRT(15),"0.00")</f>
        <v>658.94 - 717.81</v>
      </c>
      <c r="J4" s="8" t="n">
        <f aca="false">TINV(0.05,15-1)*F4/SQRT(15)</f>
        <v>29.4374491472268</v>
      </c>
      <c r="K4" s="24" t="n">
        <f aca="false">J4/D4</f>
        <v>0.0427636192244163</v>
      </c>
      <c r="L4" s="22" t="n">
        <f aca="false">AVERAGE(1_Repliques!I3:I17)</f>
        <v>107.450666666667</v>
      </c>
      <c r="M4" s="8" t="n">
        <f aca="false">VAR(1_Repliques!I3:I17)</f>
        <v>25.7297495238095</v>
      </c>
      <c r="N4" s="8" t="n">
        <f aca="false">STDEV(1_Repliques!I3:I17)</f>
        <v>5.07245005138636</v>
      </c>
      <c r="O4" s="8" t="n">
        <f aca="false">MIN(1_Repliques!I3:I17)</f>
        <v>100.07</v>
      </c>
      <c r="P4" s="8" t="n">
        <f aca="false">MAX(1_Repliques!I3:I17)</f>
        <v>118.1</v>
      </c>
      <c r="Q4" s="23" t="str">
        <f aca="false">TEXT(L4-TINV(0.05,15-1)*N4/SQRT(15),"0.00")&amp;" - "&amp;TEXT(L4+TINV(0.05,15-1)*N4/SQRT(15),"0.00")</f>
        <v>104.64 - 110.26</v>
      </c>
      <c r="R4" s="8" t="n">
        <f aca="false">TINV(0.05,15-1)*N4/SQRT(15)</f>
        <v>2.80902920896753</v>
      </c>
      <c r="S4" s="24" t="n">
        <f aca="false">R4/L4</f>
        <v>0.0261425014484247</v>
      </c>
      <c r="T4" s="22" t="n">
        <f aca="false">AVERAGE(1_Repliques!J3:J17)</f>
        <v>14.3239333333333</v>
      </c>
      <c r="U4" s="8" t="n">
        <f aca="false">VAR(1_Repliques!J3:J17)</f>
        <v>0.00353778095238095</v>
      </c>
      <c r="V4" s="8" t="n">
        <f aca="false">STDEV(1_Repliques!J3:J17)</f>
        <v>0.059479248081839</v>
      </c>
      <c r="W4" s="8" t="n">
        <f aca="false">MIN(1_Repliques!J3:J17)</f>
        <v>14.206</v>
      </c>
      <c r="X4" s="8" t="n">
        <f aca="false">MAX(1_Repliques!J3:J17)</f>
        <v>14.434</v>
      </c>
      <c r="Y4" s="23" t="str">
        <f aca="false">TEXT(T4-TINV(0.05,15-1)*V4/SQRT(15),"0.00")&amp;" - "&amp;TEXT(T4+TINV(0.05,15-1)*V4/SQRT(15),"0.00")</f>
        <v>14.29 - 14.36</v>
      </c>
      <c r="Z4" s="8" t="n">
        <f aca="false">TINV(0.05,15-1)*V4/SQRT(15)</f>
        <v>0.03293850969388</v>
      </c>
      <c r="AA4" s="24" t="n">
        <f aca="false">Z4/T4</f>
        <v>0.00229954363283921</v>
      </c>
      <c r="AB4" s="25" t="str">
        <f aca="false">IF(TINV(0.05,15-1)*STDEV(1_Repliques!H3:H17)/SQRT(15)/AVERAGE(1_Repliques!H3:H17)&lt;0.05,"Si","No")</f>
        <v>Si</v>
      </c>
      <c r="AC4" s="26" t="s">
        <v>12</v>
      </c>
    </row>
    <row r="5" customFormat="false" ht="15.75" hidden="false" customHeight="true" outlineLevel="0" collapsed="false">
      <c r="A5" s="3" t="n">
        <v>2</v>
      </c>
      <c r="B5" s="3" t="s">
        <v>13</v>
      </c>
      <c r="C5" s="4" t="n">
        <v>15</v>
      </c>
      <c r="D5" s="27" t="n">
        <f aca="false">AVERAGE(1_Repliques!H18:H32)</f>
        <v>324.724</v>
      </c>
      <c r="E5" s="5" t="n">
        <f aca="false">VAR(1_Repliques!H18:H32)</f>
        <v>413.431525714286</v>
      </c>
      <c r="F5" s="5" t="n">
        <f aca="false">STDEV(1_Repliques!H18:H32)</f>
        <v>20.3330156571593</v>
      </c>
      <c r="G5" s="5" t="n">
        <f aca="false">MIN(1_Repliques!H18:H32)</f>
        <v>267.09</v>
      </c>
      <c r="H5" s="5" t="n">
        <f aca="false">MAX(1_Repliques!H18:H32)</f>
        <v>354.15</v>
      </c>
      <c r="I5" s="28" t="str">
        <f aca="false">TEXT(D5-TINV(0.05,15-1)*F5/SQRT(15),"0.00")&amp;" - "&amp;TEXT(D5+TINV(0.05,15-1)*F5/SQRT(15),"0.00")</f>
        <v>313.46 - 335.98</v>
      </c>
      <c r="J5" s="5" t="n">
        <f aca="false">TINV(0.05,15-1)*F5/SQRT(15)</f>
        <v>11.2600487552843</v>
      </c>
      <c r="K5" s="29" t="n">
        <f aca="false">J5/D5</f>
        <v>0.0346757515775991</v>
      </c>
      <c r="L5" s="27" t="n">
        <f aca="false">AVERAGE(1_Repliques!I18:I32)</f>
        <v>153.966</v>
      </c>
      <c r="M5" s="5" t="n">
        <f aca="false">VAR(1_Repliques!I18:I32)</f>
        <v>59.6699685714286</v>
      </c>
      <c r="N5" s="5" t="n">
        <f aca="false">STDEV(1_Repliques!I18:I32)</f>
        <v>7.72463387944235</v>
      </c>
      <c r="O5" s="5" t="n">
        <f aca="false">MIN(1_Repliques!I18:I32)</f>
        <v>133.67</v>
      </c>
      <c r="P5" s="5" t="n">
        <f aca="false">MAX(1_Repliques!I18:I32)</f>
        <v>164.38</v>
      </c>
      <c r="Q5" s="28" t="str">
        <f aca="false">TEXT(L5-TINV(0.05,15-1)*N5/SQRT(15),"0.00")&amp;" - "&amp;TEXT(L5+TINV(0.05,15-1)*N5/SQRT(15),"0.00")</f>
        <v>149.69 - 158.24</v>
      </c>
      <c r="R5" s="5" t="n">
        <f aca="false">TINV(0.05,15-1)*N5/SQRT(15)</f>
        <v>4.27775965778179</v>
      </c>
      <c r="S5" s="29" t="n">
        <f aca="false">R5/L5</f>
        <v>0.0277837941998999</v>
      </c>
      <c r="T5" s="27" t="n">
        <f aca="false">AVERAGE(1_Repliques!J18:J32)</f>
        <v>13.4188666666667</v>
      </c>
      <c r="U5" s="5" t="n">
        <f aca="false">VAR(1_Repliques!J18:J32)</f>
        <v>0.00565626666666668</v>
      </c>
      <c r="V5" s="5" t="n">
        <f aca="false">STDEV(1_Repliques!J18:J32)</f>
        <v>0.0752081555861243</v>
      </c>
      <c r="W5" s="5" t="n">
        <f aca="false">MIN(1_Repliques!J18:J32)</f>
        <v>13.263</v>
      </c>
      <c r="X5" s="5" t="n">
        <f aca="false">MAX(1_Repliques!J18:J32)</f>
        <v>13.537</v>
      </c>
      <c r="Y5" s="28" t="str">
        <f aca="false">TEXT(T5-TINV(0.05,15-1)*V5/SQRT(15),"0.00")&amp;" - "&amp;TEXT(T5+TINV(0.05,15-1)*V5/SQRT(15),"0.00")</f>
        <v>13.38 - 13.46</v>
      </c>
      <c r="Z5" s="5" t="n">
        <f aca="false">TINV(0.05,15-1)*V5/SQRT(15)</f>
        <v>0.0416488883387344</v>
      </c>
      <c r="AA5" s="29" t="n">
        <f aca="false">Z5/T5</f>
        <v>0.00310375603046961</v>
      </c>
      <c r="AB5" s="25" t="str">
        <f aca="false">IF(TINV(0.05,15-1)*STDEV(1_Repliques!H18:H32)/SQRT(15)/AVERAGE(1_Repliques!H18:H32)&lt;0.05,"Si","No")</f>
        <v>Si</v>
      </c>
      <c r="AC5" s="30" t="s">
        <v>12</v>
      </c>
    </row>
    <row r="6" customFormat="false" ht="15.75" hidden="false" customHeight="true" outlineLevel="0" collapsed="false">
      <c r="A6" s="6" t="n">
        <v>3</v>
      </c>
      <c r="B6" s="6" t="s">
        <v>15</v>
      </c>
      <c r="C6" s="7" t="n">
        <v>15</v>
      </c>
      <c r="D6" s="22" t="n">
        <f aca="false">AVERAGE(1_Repliques!H33:H47)</f>
        <v>390.341333333333</v>
      </c>
      <c r="E6" s="8" t="n">
        <f aca="false">VAR(1_Repliques!H33:H47)</f>
        <v>174.227598095238</v>
      </c>
      <c r="F6" s="8" t="n">
        <f aca="false">STDEV(1_Repliques!H33:H47)</f>
        <v>13.1995302225207</v>
      </c>
      <c r="G6" s="8" t="n">
        <f aca="false">MIN(1_Repliques!H33:H47)</f>
        <v>366.07</v>
      </c>
      <c r="H6" s="8" t="n">
        <f aca="false">MAX(1_Repliques!H33:H47)</f>
        <v>410.19</v>
      </c>
      <c r="I6" s="23" t="str">
        <f aca="false">TEXT(D6-TINV(0.05,15-1)*F6/SQRT(15),"0.00")&amp;" - "&amp;TEXT(D6+TINV(0.05,15-1)*F6/SQRT(15),"0.00")</f>
        <v>383.03 - 397.65</v>
      </c>
      <c r="J6" s="8" t="n">
        <f aca="false">TINV(0.05,15-1)*F6/SQRT(15)</f>
        <v>7.30965619455959</v>
      </c>
      <c r="K6" s="24" t="n">
        <f aca="false">J6/D6</f>
        <v>0.0187263186609999</v>
      </c>
      <c r="L6" s="22" t="n">
        <f aca="false">AVERAGE(1_Repliques!I33:I47)</f>
        <v>109.578</v>
      </c>
      <c r="M6" s="8" t="n">
        <f aca="false">VAR(1_Repliques!I33:I47)</f>
        <v>18.1590457142857</v>
      </c>
      <c r="N6" s="8" t="n">
        <f aca="false">STDEV(1_Repliques!I33:I47)</f>
        <v>4.26134318194225</v>
      </c>
      <c r="O6" s="8" t="n">
        <f aca="false">MIN(1_Repliques!I33:I47)</f>
        <v>103.41</v>
      </c>
      <c r="P6" s="8" t="n">
        <f aca="false">MAX(1_Repliques!I33:I47)</f>
        <v>118.39</v>
      </c>
      <c r="Q6" s="23" t="str">
        <f aca="false">TEXT(L6-TINV(0.05,15-1)*N6/SQRT(15),"0.00")&amp;" - "&amp;TEXT(L6+TINV(0.05,15-1)*N6/SQRT(15),"0.00")</f>
        <v>107.22 - 111.94</v>
      </c>
      <c r="R6" s="8" t="n">
        <f aca="false">TINV(0.05,15-1)*N6/SQRT(15)</f>
        <v>2.35985319643292</v>
      </c>
      <c r="S6" s="24" t="n">
        <f aca="false">R6/L6</f>
        <v>0.0215358301523382</v>
      </c>
      <c r="T6" s="22" t="n">
        <f aca="false">AVERAGE(1_Repliques!J33:J47)</f>
        <v>14.4442666666667</v>
      </c>
      <c r="U6" s="8" t="n">
        <f aca="false">VAR(1_Repliques!J33:J47)</f>
        <v>0.00631263809523811</v>
      </c>
      <c r="V6" s="8" t="n">
        <f aca="false">STDEV(1_Repliques!J33:J47)</f>
        <v>0.0794521119621002</v>
      </c>
      <c r="W6" s="8" t="n">
        <f aca="false">MIN(1_Repliques!J33:J47)</f>
        <v>14.335</v>
      </c>
      <c r="X6" s="8" t="n">
        <f aca="false">MAX(1_Repliques!J33:J47)</f>
        <v>14.576</v>
      </c>
      <c r="Y6" s="23" t="str">
        <f aca="false">TEXT(T6-TINV(0.05,15-1)*V6/SQRT(15),"0.00")&amp;" - "&amp;TEXT(T6+TINV(0.05,15-1)*V6/SQRT(15),"0.00")</f>
        <v>14.40 - 14.49</v>
      </c>
      <c r="Z6" s="8" t="n">
        <f aca="false">TINV(0.05,15-1)*V6/SQRT(15)</f>
        <v>0.0439991130429563</v>
      </c>
      <c r="AA6" s="24" t="n">
        <f aca="false">Z6/T6</f>
        <v>0.00304612993226538</v>
      </c>
      <c r="AB6" s="25" t="str">
        <f aca="false">IF(TINV(0.05,15-1)*STDEV(1_Repliques!H33:H47)/SQRT(15)/AVERAGE(1_Repliques!H33:H47)&lt;0.05,"Si","No")</f>
        <v>Si</v>
      </c>
      <c r="AC6" s="26" t="s">
        <v>12</v>
      </c>
    </row>
    <row r="7" customFormat="false" ht="15.75" hidden="false" customHeight="true" outlineLevel="0" collapsed="false">
      <c r="A7" s="3" t="n">
        <v>4</v>
      </c>
      <c r="B7" s="3" t="s">
        <v>16</v>
      </c>
      <c r="C7" s="4" t="n">
        <v>15</v>
      </c>
      <c r="D7" s="27" t="n">
        <f aca="false">AVERAGE(1_Repliques!H48:H62)</f>
        <v>298.409333333333</v>
      </c>
      <c r="E7" s="5" t="n">
        <f aca="false">VAR(1_Repliques!H48:H62)</f>
        <v>148.451978095238</v>
      </c>
      <c r="F7" s="5" t="n">
        <f aca="false">STDEV(1_Repliques!H48:H62)</f>
        <v>12.1840870850154</v>
      </c>
      <c r="G7" s="5" t="n">
        <f aca="false">MIN(1_Repliques!H48:H62)</f>
        <v>277.5</v>
      </c>
      <c r="H7" s="5" t="n">
        <f aca="false">MAX(1_Repliques!H48:H62)</f>
        <v>318.79</v>
      </c>
      <c r="I7" s="28" t="str">
        <f aca="false">TEXT(D7-TINV(0.05,15-1)*F7/SQRT(15),"0.00")&amp;" - "&amp;TEXT(D7+TINV(0.05,15-1)*F7/SQRT(15),"0.00")</f>
        <v>291.66 - 305.16</v>
      </c>
      <c r="J7" s="5" t="n">
        <f aca="false">TINV(0.05,15-1)*F7/SQRT(15)</f>
        <v>6.7473225285004</v>
      </c>
      <c r="K7" s="29" t="n">
        <f aca="false">J7/D7</f>
        <v>0.0226109634478604</v>
      </c>
      <c r="L7" s="27" t="n">
        <f aca="false">AVERAGE(1_Repliques!I48:I62)</f>
        <v>149.929333333333</v>
      </c>
      <c r="M7" s="5" t="n">
        <f aca="false">VAR(1_Repliques!I48:I62)</f>
        <v>18.8251780952381</v>
      </c>
      <c r="N7" s="5" t="n">
        <f aca="false">STDEV(1_Repliques!I48:I62)</f>
        <v>4.33879915359517</v>
      </c>
      <c r="O7" s="5" t="n">
        <f aca="false">MIN(1_Repliques!I48:I62)</f>
        <v>140.92</v>
      </c>
      <c r="P7" s="5" t="n">
        <f aca="false">MAX(1_Repliques!I48:I62)</f>
        <v>157.81</v>
      </c>
      <c r="Q7" s="28" t="str">
        <f aca="false">TEXT(L7-TINV(0.05,15-1)*N7/SQRT(15),"0.00")&amp;" - "&amp;TEXT(L7+TINV(0.05,15-1)*N7/SQRT(15),"0.00")</f>
        <v>147.53 - 152.33</v>
      </c>
      <c r="R7" s="5" t="n">
        <f aca="false">TINV(0.05,15-1)*N7/SQRT(15)</f>
        <v>2.40274688381827</v>
      </c>
      <c r="S7" s="29" t="n">
        <f aca="false">R7/L7</f>
        <v>0.0160258625206871</v>
      </c>
      <c r="T7" s="27" t="n">
        <f aca="false">AVERAGE(1_Repliques!J48:J62)</f>
        <v>13.3507333333333</v>
      </c>
      <c r="U7" s="5" t="n">
        <f aca="false">VAR(1_Repliques!J48:J62)</f>
        <v>0.00211749523809525</v>
      </c>
      <c r="V7" s="5" t="n">
        <f aca="false">STDEV(1_Repliques!J48:J62)</f>
        <v>0.0460162497178469</v>
      </c>
      <c r="W7" s="5" t="n">
        <f aca="false">MIN(1_Repliques!J48:J62)</f>
        <v>13.28</v>
      </c>
      <c r="X7" s="5" t="n">
        <f aca="false">MAX(1_Repliques!J48:J62)</f>
        <v>13.439</v>
      </c>
      <c r="Y7" s="28" t="str">
        <f aca="false">TEXT(T7-TINV(0.05,15-1)*V7/SQRT(15),"0.00")&amp;" - "&amp;TEXT(T7+TINV(0.05,15-1)*V7/SQRT(15),"0.00")</f>
        <v>13.33 - 13.38</v>
      </c>
      <c r="Z7" s="5" t="n">
        <f aca="false">TINV(0.05,15-1)*V7/SQRT(15)</f>
        <v>0.0254829497057832</v>
      </c>
      <c r="AA7" s="29" t="n">
        <f aca="false">Z7/T7</f>
        <v>0.00190873033484676</v>
      </c>
      <c r="AB7" s="25" t="str">
        <f aca="false">IF(TINV(0.05,15-1)*STDEV(1_Repliques!H48:H62)/SQRT(15)/AVERAGE(1_Repliques!H48:H62)&lt;0.05,"Si","No")</f>
        <v>Si</v>
      </c>
      <c r="AC7" s="30" t="s">
        <v>12</v>
      </c>
    </row>
    <row r="8" customFormat="false" ht="15.75" hidden="false" customHeight="true" outlineLevel="0" collapsed="false">
      <c r="A8" s="6" t="n">
        <v>5</v>
      </c>
      <c r="B8" s="6" t="s">
        <v>17</v>
      </c>
      <c r="C8" s="7" t="n">
        <v>36</v>
      </c>
      <c r="D8" s="22" t="n">
        <f aca="false">AVERAGE(1_Repliques!H63:H98)</f>
        <v>576.581111111111</v>
      </c>
      <c r="E8" s="8" t="n">
        <f aca="false">VAR(1_Repliques!H63:H98)</f>
        <v>5106.29495301587</v>
      </c>
      <c r="F8" s="8" t="n">
        <f aca="false">STDEV(1_Repliques!H63:H98)</f>
        <v>71.4583441804795</v>
      </c>
      <c r="G8" s="8" t="n">
        <f aca="false">MIN(1_Repliques!H63:H98)</f>
        <v>421.29</v>
      </c>
      <c r="H8" s="8" t="n">
        <f aca="false">MAX(1_Repliques!H63:H98)</f>
        <v>709.01</v>
      </c>
      <c r="I8" s="23" t="str">
        <f aca="false">TEXT(D8-TINV(0.05,36-1)*F8/SQRT(36),"0.00")&amp;" - "&amp;TEXT(D8+TINV(0.05,36-1)*F8/SQRT(36),"0.00")</f>
        <v>552.40 - 600.76</v>
      </c>
      <c r="J8" s="8" t="n">
        <f aca="false">TINV(0.05,36-1)*F8/SQRT(36)</f>
        <v>24.1780251767389</v>
      </c>
      <c r="K8" s="24" t="n">
        <f aca="false">J8/D8</f>
        <v>0.0419334326269312</v>
      </c>
      <c r="L8" s="22" t="n">
        <f aca="false">AVERAGE(1_Repliques!I63:I98)</f>
        <v>11.6752777777778</v>
      </c>
      <c r="M8" s="8" t="n">
        <f aca="false">VAR(1_Repliques!I63:I98)</f>
        <v>1.20245992063492</v>
      </c>
      <c r="N8" s="8" t="n">
        <f aca="false">STDEV(1_Repliques!I63:I98)</f>
        <v>1.09656733520333</v>
      </c>
      <c r="O8" s="8" t="n">
        <f aca="false">MIN(1_Repliques!I63:I98)</f>
        <v>9.4</v>
      </c>
      <c r="P8" s="8" t="n">
        <f aca="false">MAX(1_Repliques!I63:I98)</f>
        <v>14.62</v>
      </c>
      <c r="Q8" s="23" t="str">
        <f aca="false">TEXT(L8-TINV(0.05,36-1)*N8/SQRT(36),"0.00")&amp;" - "&amp;TEXT(L8+TINV(0.05,36-1)*N8/SQRT(36),"0.00")</f>
        <v>11.30 - 12.05</v>
      </c>
      <c r="R8" s="8" t="n">
        <f aca="false">TINV(0.05,36-1)*N8/SQRT(36)</f>
        <v>0.37102500684277</v>
      </c>
      <c r="S8" s="24" t="n">
        <f aca="false">R8/L8</f>
        <v>0.0317786877455681</v>
      </c>
      <c r="T8" s="22" t="n">
        <f aca="false">AVERAGE(1_Repliques!J63:J98)</f>
        <v>16.0621388888889</v>
      </c>
      <c r="U8" s="8" t="n">
        <f aca="false">VAR(1_Repliques!J63:J98)</f>
        <v>0.00762309444444441</v>
      </c>
      <c r="V8" s="8" t="n">
        <f aca="false">STDEV(1_Repliques!J63:J98)</f>
        <v>0.0873103341217087</v>
      </c>
      <c r="W8" s="8" t="n">
        <f aca="false">MIN(1_Repliques!J63:J98)</f>
        <v>15.894</v>
      </c>
      <c r="X8" s="8" t="n">
        <f aca="false">MAX(1_Repliques!J63:J98)</f>
        <v>16.304</v>
      </c>
      <c r="Y8" s="23" t="str">
        <f aca="false">TEXT(T8-TINV(0.05,36-1)*V8/SQRT(36),"0.00")&amp;" - "&amp;TEXT(T8+TINV(0.05,36-1)*V8/SQRT(36),"0.00")</f>
        <v>16.03 - 16.09</v>
      </c>
      <c r="Z8" s="8" t="n">
        <f aca="false">TINV(0.05,36-1)*V8/SQRT(36)</f>
        <v>0.0295415669197779</v>
      </c>
      <c r="AA8" s="24" t="n">
        <f aca="false">Z8/T8</f>
        <v>0.00183920504760506</v>
      </c>
      <c r="AB8" s="25" t="str">
        <f aca="false">IF(TINV(0.05,36-1)*STDEV(1_Repliques!H63:H98)/SQRT(36)/AVERAGE(1_Repliques!H63:H98)&lt;0.05,"Si","No")</f>
        <v>Si</v>
      </c>
      <c r="AC8" s="31" t="s">
        <v>46</v>
      </c>
    </row>
    <row r="9" customFormat="false" ht="15.75" hidden="false" customHeight="true" outlineLevel="0" collapsed="false">
      <c r="A9" s="3" t="n">
        <v>6</v>
      </c>
      <c r="B9" s="3" t="s">
        <v>18</v>
      </c>
      <c r="C9" s="4" t="n">
        <v>23</v>
      </c>
      <c r="D9" s="27" t="n">
        <f aca="false">AVERAGE(1_Repliques!H99:H121)</f>
        <v>483.796956521739</v>
      </c>
      <c r="E9" s="5" t="n">
        <f aca="false">VAR(1_Repliques!H99:H121)</f>
        <v>2382.04237667984</v>
      </c>
      <c r="F9" s="5" t="n">
        <f aca="false">STDEV(1_Repliques!H99:H121)</f>
        <v>48.8061715019714</v>
      </c>
      <c r="G9" s="5" t="n">
        <f aca="false">MIN(1_Repliques!H99:H121)</f>
        <v>356.22</v>
      </c>
      <c r="H9" s="5" t="n">
        <f aca="false">MAX(1_Repliques!H99:H121)</f>
        <v>587.69</v>
      </c>
      <c r="I9" s="28" t="str">
        <f aca="false">TEXT(D9-TINV(0.05,23-1)*F9/SQRT(23),"0.00")&amp;" - "&amp;TEXT(D9+TINV(0.05,23-1)*F9/SQRT(23),"0.00")</f>
        <v>462.69 - 504.90</v>
      </c>
      <c r="J9" s="5" t="n">
        <f aca="false">TINV(0.05,23-1)*F9/SQRT(23)</f>
        <v>21.1053712236178</v>
      </c>
      <c r="K9" s="29" t="n">
        <f aca="false">J9/D9</f>
        <v>0.0436244398380573</v>
      </c>
      <c r="L9" s="27" t="n">
        <f aca="false">AVERAGE(1_Repliques!I99:I121)</f>
        <v>11.0130434782609</v>
      </c>
      <c r="M9" s="5" t="n">
        <f aca="false">VAR(1_Repliques!I99:I121)</f>
        <v>1.08284031620553</v>
      </c>
      <c r="N9" s="5" t="n">
        <f aca="false">STDEV(1_Repliques!I99:I121)</f>
        <v>1.04059613501374</v>
      </c>
      <c r="O9" s="5" t="n">
        <f aca="false">MIN(1_Repliques!I99:I121)</f>
        <v>9</v>
      </c>
      <c r="P9" s="5" t="n">
        <f aca="false">MAX(1_Repliques!I99:I121)</f>
        <v>13.43</v>
      </c>
      <c r="Q9" s="28" t="str">
        <f aca="false">TEXT(L9-TINV(0.05,23-1)*N9/SQRT(23),"0.00")&amp;" - "&amp;TEXT(L9+TINV(0.05,23-1)*N9/SQRT(23),"0.00")</f>
        <v>10.56 - 11.46</v>
      </c>
      <c r="R9" s="5" t="n">
        <f aca="false">TINV(0.05,23-1)*N9/SQRT(23)</f>
        <v>0.449987512797225</v>
      </c>
      <c r="S9" s="29" t="n">
        <f aca="false">R9/L9</f>
        <v>0.0408595057020773</v>
      </c>
      <c r="T9" s="27" t="n">
        <f aca="false">AVERAGE(1_Repliques!J99:J121)</f>
        <v>26.581</v>
      </c>
      <c r="U9" s="5" t="n">
        <f aca="false">VAR(1_Repliques!J99:J121)</f>
        <v>0.0119798181818182</v>
      </c>
      <c r="V9" s="5" t="n">
        <f aca="false">STDEV(1_Repliques!J99:J121)</f>
        <v>0.109452355761848</v>
      </c>
      <c r="W9" s="5" t="n">
        <f aca="false">MIN(1_Repliques!J99:J121)</f>
        <v>26.442</v>
      </c>
      <c r="X9" s="5" t="n">
        <f aca="false">MAX(1_Repliques!J99:J121)</f>
        <v>26.827</v>
      </c>
      <c r="Y9" s="28" t="str">
        <f aca="false">TEXT(T9-TINV(0.05,23-1)*V9/SQRT(23),"0.00")&amp;" - "&amp;TEXT(T9+TINV(0.05,23-1)*V9/SQRT(23),"0.00")</f>
        <v>26.53 - 26.63</v>
      </c>
      <c r="Z9" s="5" t="n">
        <f aca="false">TINV(0.05,23-1)*V9/SQRT(23)</f>
        <v>0.0473307479067475</v>
      </c>
      <c r="AA9" s="29" t="n">
        <f aca="false">Z9/T9</f>
        <v>0.00178062329885059</v>
      </c>
      <c r="AB9" s="25" t="str">
        <f aca="false">IF(TINV(0.05,23-1)*STDEV(1_Repliques!H99:H121)/SQRT(23)/AVERAGE(1_Repliques!H99:H121)&lt;0.05,"Si","No")</f>
        <v>Si</v>
      </c>
      <c r="AC9" s="31" t="s">
        <v>47</v>
      </c>
    </row>
    <row r="10" customFormat="false" ht="15.75" hidden="false" customHeight="true" outlineLevel="0" collapsed="false">
      <c r="A10" s="6" t="n">
        <v>7</v>
      </c>
      <c r="B10" s="6" t="s">
        <v>19</v>
      </c>
      <c r="C10" s="7" t="n">
        <v>51</v>
      </c>
      <c r="D10" s="22" t="n">
        <f aca="false">AVERAGE(1_Repliques!H122:H172)</f>
        <v>191.291960784314</v>
      </c>
      <c r="E10" s="8" t="n">
        <f aca="false">VAR(1_Repliques!H122:H172)</f>
        <v>92.7426680784313</v>
      </c>
      <c r="F10" s="8" t="n">
        <f aca="false">STDEV(1_Repliques!H122:H172)</f>
        <v>9.63029948020472</v>
      </c>
      <c r="G10" s="8" t="n">
        <f aca="false">MIN(1_Repliques!H122:H172)</f>
        <v>176.25</v>
      </c>
      <c r="H10" s="8" t="n">
        <f aca="false">MAX(1_Repliques!H122:H172)</f>
        <v>217.72</v>
      </c>
      <c r="I10" s="23" t="str">
        <f aca="false">TEXT(D10-TINV(0.05,51-1)*F10/SQRT(51),"0.00")&amp;" - "&amp;TEXT(D10+TINV(0.05,51-1)*F10/SQRT(51),"0.00")</f>
        <v>188.58 - 194.00</v>
      </c>
      <c r="J10" s="8" t="n">
        <f aca="false">TINV(0.05,51-1)*F10/SQRT(51)</f>
        <v>2.70856537550866</v>
      </c>
      <c r="K10" s="24" t="n">
        <f aca="false">J10/D10</f>
        <v>0.0141593267401479</v>
      </c>
      <c r="L10" s="22" t="n">
        <f aca="false">AVERAGE(1_Repliques!I122:I172)</f>
        <v>17.9327450980392</v>
      </c>
      <c r="M10" s="8" t="n">
        <f aca="false">VAR(1_Repliques!I122:I172)</f>
        <v>7.33948431372549</v>
      </c>
      <c r="N10" s="8" t="n">
        <f aca="false">STDEV(1_Repliques!I122:I172)</f>
        <v>2.70914826351853</v>
      </c>
      <c r="O10" s="8" t="n">
        <f aca="false">MIN(1_Repliques!I122:I172)</f>
        <v>13.12</v>
      </c>
      <c r="P10" s="8" t="n">
        <f aca="false">MAX(1_Repliques!I122:I172)</f>
        <v>24.01</v>
      </c>
      <c r="Q10" s="23" t="str">
        <f aca="false">TEXT(L10-TINV(0.05,51-1)*N10/SQRT(51),"0.00")&amp;" - "&amp;TEXT(L10+TINV(0.05,51-1)*N10/SQRT(51),"0.00")</f>
        <v>17.17 - 18.69</v>
      </c>
      <c r="R10" s="8" t="n">
        <f aca="false">TINV(0.05,51-1)*N10/SQRT(51)</f>
        <v>0.761960227588865</v>
      </c>
      <c r="S10" s="24" t="n">
        <f aca="false">R10/L10</f>
        <v>0.0424898822474301</v>
      </c>
      <c r="T10" s="22" t="n">
        <f aca="false">AVERAGE(1_Repliques!J122:J172)</f>
        <v>16.3414509803922</v>
      </c>
      <c r="U10" s="8" t="n">
        <f aca="false">VAR(1_Repliques!J122:J172)</f>
        <v>0.0106482525490195</v>
      </c>
      <c r="V10" s="8" t="n">
        <f aca="false">STDEV(1_Repliques!J122:J172)</f>
        <v>0.103190370427766</v>
      </c>
      <c r="W10" s="8" t="n">
        <f aca="false">MIN(1_Repliques!J122:J172)</f>
        <v>16.161</v>
      </c>
      <c r="X10" s="8" t="n">
        <f aca="false">MAX(1_Repliques!J122:J172)</f>
        <v>16.593</v>
      </c>
      <c r="Y10" s="23" t="str">
        <f aca="false">TEXT(T10-TINV(0.05,51-1)*V10/SQRT(51),"0.00")&amp;" - "&amp;TEXT(T10+TINV(0.05,51-1)*V10/SQRT(51),"0.00")</f>
        <v>16.31 - 16.37</v>
      </c>
      <c r="Z10" s="8" t="n">
        <f aca="false">TINV(0.05,51-1)*V10/SQRT(51)</f>
        <v>0.0290227593649681</v>
      </c>
      <c r="AA10" s="24" t="n">
        <f aca="false">Z10/T10</f>
        <v>0.00177602095430767</v>
      </c>
      <c r="AB10" s="25" t="str">
        <f aca="false">IF(TINV(0.05,51-1)*STDEV(1_Repliques!H122:H172)/SQRT(51)/AVERAGE(1_Repliques!H122:H172)&lt;0.05,"Si","No")</f>
        <v>Si</v>
      </c>
      <c r="AC10" s="31" t="s">
        <v>48</v>
      </c>
    </row>
    <row r="11" customFormat="false" ht="15.75" hidden="false" customHeight="true" outlineLevel="0" collapsed="false">
      <c r="A11" s="3" t="n">
        <v>8</v>
      </c>
      <c r="B11" s="3" t="s">
        <v>20</v>
      </c>
      <c r="C11" s="4" t="n">
        <v>15</v>
      </c>
      <c r="D11" s="27" t="n">
        <f aca="false">AVERAGE(1_Repliques!H173:H187)</f>
        <v>171.162666666667</v>
      </c>
      <c r="E11" s="5" t="n">
        <f aca="false">VAR(1_Repliques!H173:H187)</f>
        <v>12.3476066666667</v>
      </c>
      <c r="F11" s="5" t="n">
        <f aca="false">STDEV(1_Repliques!H173:H187)</f>
        <v>3.51391614394349</v>
      </c>
      <c r="G11" s="5" t="n">
        <f aca="false">MIN(1_Repliques!H173:H187)</f>
        <v>166.02</v>
      </c>
      <c r="H11" s="5" t="n">
        <f aca="false">MAX(1_Repliques!H173:H187)</f>
        <v>180</v>
      </c>
      <c r="I11" s="28" t="str">
        <f aca="false">TEXT(D11-TINV(0.05,15-1)*F11/SQRT(15),"0.00")&amp;" - "&amp;TEXT(D11+TINV(0.05,15-1)*F11/SQRT(15),"0.00")</f>
        <v>169.22 - 173.11</v>
      </c>
      <c r="J11" s="5" t="n">
        <f aca="false">TINV(0.05,15-1)*F11/SQRT(15)</f>
        <v>1.9459418991227</v>
      </c>
      <c r="K11" s="29" t="n">
        <f aca="false">J11/D11</f>
        <v>0.011368962268579</v>
      </c>
      <c r="L11" s="27" t="n">
        <f aca="false">AVERAGE(1_Repliques!I173:I187)</f>
        <v>11.44</v>
      </c>
      <c r="M11" s="5" t="n">
        <f aca="false">VAR(1_Repliques!I173:I187)</f>
        <v>0.864414285714286</v>
      </c>
      <c r="N11" s="5" t="n">
        <f aca="false">STDEV(1_Repliques!I173:I187)</f>
        <v>0.929738826614381</v>
      </c>
      <c r="O11" s="5" t="n">
        <f aca="false">MIN(1_Repliques!I173:I187)</f>
        <v>10.42</v>
      </c>
      <c r="P11" s="5" t="n">
        <f aca="false">MAX(1_Repliques!I173:I187)</f>
        <v>13.42</v>
      </c>
      <c r="Q11" s="28" t="str">
        <f aca="false">TEXT(L11-TINV(0.05,15-1)*N11/SQRT(15),"0.00")&amp;" - "&amp;TEXT(L11+TINV(0.05,15-1)*N11/SQRT(15),"0.00")</f>
        <v>10.93 - 11.95</v>
      </c>
      <c r="R11" s="5" t="n">
        <f aca="false">TINV(0.05,15-1)*N11/SQRT(15)</f>
        <v>0.514872200655223</v>
      </c>
      <c r="S11" s="29" t="n">
        <f aca="false">R11/L11</f>
        <v>0.045006311246086</v>
      </c>
      <c r="T11" s="27" t="n">
        <f aca="false">AVERAGE(1_Repliques!J173:J187)</f>
        <v>26.5802</v>
      </c>
      <c r="U11" s="5" t="n">
        <f aca="false">VAR(1_Repliques!J173:J187)</f>
        <v>0.0240187428571428</v>
      </c>
      <c r="V11" s="5" t="n">
        <f aca="false">STDEV(1_Repliques!J173:J187)</f>
        <v>0.154979814353814</v>
      </c>
      <c r="W11" s="5" t="n">
        <f aca="false">MIN(1_Repliques!J173:J187)</f>
        <v>26.42</v>
      </c>
      <c r="X11" s="5" t="n">
        <f aca="false">MAX(1_Repliques!J173:J187)</f>
        <v>26.98</v>
      </c>
      <c r="Y11" s="28" t="str">
        <f aca="false">TEXT(T11-TINV(0.05,15-1)*V11/SQRT(15),"0.00")&amp;" - "&amp;TEXT(T11+TINV(0.05,15-1)*V11/SQRT(15),"0.00")</f>
        <v>26.49 - 26.67</v>
      </c>
      <c r="Z11" s="5" t="n">
        <f aca="false">TINV(0.05,15-1)*V11/SQRT(15)</f>
        <v>0.0858249605042924</v>
      </c>
      <c r="AA11" s="29" t="n">
        <f aca="false">Z11/T11</f>
        <v>0.0032289057457917</v>
      </c>
      <c r="AB11" s="25" t="str">
        <f aca="false">IF(TINV(0.05,15-1)*STDEV(1_Repliques!H173:H187)/SQRT(15)/AVERAGE(1_Repliques!H173:H187)&lt;0.05,"Si","No")</f>
        <v>Si</v>
      </c>
      <c r="AC11" s="30" t="s">
        <v>12</v>
      </c>
    </row>
    <row r="12" customFormat="false" ht="15.75" hidden="false" customHeight="true" outlineLevel="0" collapsed="false">
      <c r="A12" s="6" t="n">
        <v>9</v>
      </c>
      <c r="B12" s="6" t="s">
        <v>21</v>
      </c>
      <c r="C12" s="7" t="n">
        <v>35</v>
      </c>
      <c r="D12" s="22" t="n">
        <f aca="false">AVERAGE(1_Repliques!H188:H222)</f>
        <v>380.275714285714</v>
      </c>
      <c r="E12" s="8" t="n">
        <f aca="false">VAR(1_Repliques!H188:H222)</f>
        <v>2937.85255462185</v>
      </c>
      <c r="F12" s="8" t="n">
        <f aca="false">STDEV(1_Repliques!H188:H222)</f>
        <v>54.2019608005269</v>
      </c>
      <c r="G12" s="8" t="n">
        <f aca="false">MIN(1_Repliques!H188:H222)</f>
        <v>241.69</v>
      </c>
      <c r="H12" s="8" t="n">
        <f aca="false">MAX(1_Repliques!H188:H222)</f>
        <v>513.25</v>
      </c>
      <c r="I12" s="23" t="str">
        <f aca="false">TEXT(D12-TINV(0.05,35-1)*F12/SQRT(35),"0.00")&amp;" - "&amp;TEXT(D12+TINV(0.05,35-1)*F12/SQRT(35),"0.00")</f>
        <v>361.66 - 398.89</v>
      </c>
      <c r="J12" s="8" t="n">
        <f aca="false">TINV(0.05,35-1)*F12/SQRT(35)</f>
        <v>18.6190249742395</v>
      </c>
      <c r="K12" s="24" t="n">
        <f aca="false">J12/D12</f>
        <v>0.0489619091485036</v>
      </c>
      <c r="L12" s="22" t="n">
        <f aca="false">AVERAGE(1_Repliques!I188:I222)</f>
        <v>97.2685714285714</v>
      </c>
      <c r="M12" s="8" t="n">
        <f aca="false">VAR(1_Repliques!I188:I222)</f>
        <v>228.120900840336</v>
      </c>
      <c r="N12" s="8" t="n">
        <f aca="false">STDEV(1_Repliques!I188:I222)</f>
        <v>15.1036717668366</v>
      </c>
      <c r="O12" s="8" t="n">
        <f aca="false">MIN(1_Repliques!I188:I222)</f>
        <v>64.79</v>
      </c>
      <c r="P12" s="8" t="n">
        <f aca="false">MAX(1_Repliques!I188:I222)</f>
        <v>119.9</v>
      </c>
      <c r="Q12" s="23" t="str">
        <f aca="false">TEXT(L12-TINV(0.05,35-1)*N12/SQRT(35),"0.00")&amp;" - "&amp;TEXT(L12+TINV(0.05,35-1)*N12/SQRT(35),"0.00")</f>
        <v>92.08 - 102.46</v>
      </c>
      <c r="R12" s="8" t="n">
        <f aca="false">TINV(0.05,35-1)*N12/SQRT(35)</f>
        <v>5.18829277900795</v>
      </c>
      <c r="S12" s="24" t="n">
        <f aca="false">R12/L12</f>
        <v>0.0533398681897774</v>
      </c>
      <c r="T12" s="22" t="n">
        <f aca="false">AVERAGE(1_Repliques!J188:J222)</f>
        <v>12.5765714285714</v>
      </c>
      <c r="U12" s="8" t="n">
        <f aca="false">VAR(1_Repliques!J188:J222)</f>
        <v>0.0018240756302521</v>
      </c>
      <c r="V12" s="8" t="n">
        <f aca="false">STDEV(1_Repliques!J188:J222)</f>
        <v>0.0427091984267101</v>
      </c>
      <c r="W12" s="8" t="n">
        <f aca="false">MIN(1_Repliques!J188:J222)</f>
        <v>12.474</v>
      </c>
      <c r="X12" s="8" t="n">
        <f aca="false">MAX(1_Repliques!J188:J222)</f>
        <v>12.648</v>
      </c>
      <c r="Y12" s="23" t="str">
        <f aca="false">TEXT(T12-TINV(0.05,35-1)*V12/SQRT(35),"0.00")&amp;" - "&amp;TEXT(T12+TINV(0.05,35-1)*V12/SQRT(35),"0.00")</f>
        <v>12.56 - 12.59</v>
      </c>
      <c r="Z12" s="8" t="n">
        <f aca="false">TINV(0.05,35-1)*V12/SQRT(35)</f>
        <v>0.0146711229703139</v>
      </c>
      <c r="AA12" s="24" t="n">
        <f aca="false">Z12/T12</f>
        <v>0.00116654392285199</v>
      </c>
      <c r="AB12" s="32" t="str">
        <f aca="false">IF(TINV(0.05,35-1)*STDEV(1_Repliques!H188:H222)/SQRT(35)/AVERAGE(1_Repliques!H188:H222)&lt;0.05,"Si","No")</f>
        <v>Si</v>
      </c>
      <c r="AC12" s="31" t="s">
        <v>49</v>
      </c>
    </row>
    <row r="13" customFormat="false" ht="15.75" hidden="false" customHeight="true" outlineLevel="0" collapsed="false">
      <c r="A13" s="3" t="n">
        <v>10</v>
      </c>
      <c r="B13" s="3" t="s">
        <v>22</v>
      </c>
      <c r="C13" s="4" t="n">
        <v>76</v>
      </c>
      <c r="D13" s="27" t="n">
        <f aca="false">AVERAGE(1_Repliques!H223:H298)</f>
        <v>232.392763157895</v>
      </c>
      <c r="E13" s="5" t="n">
        <f aca="false">VAR(1_Repliques!H223:H298)</f>
        <v>1991.14049226316</v>
      </c>
      <c r="F13" s="5" t="n">
        <f aca="false">STDEV(1_Repliques!H223:H298)</f>
        <v>44.6221973042919</v>
      </c>
      <c r="G13" s="5" t="n">
        <f aca="false">MIN(1_Repliques!H223:H298)</f>
        <v>138.69</v>
      </c>
      <c r="H13" s="5" t="n">
        <f aca="false">MAX(1_Repliques!H223:H298)</f>
        <v>313.68</v>
      </c>
      <c r="I13" s="28" t="str">
        <f aca="false">TEXT(D13-TINV(0.05,76-1)*F13/SQRT(76),"0.00")&amp;" - "&amp;TEXT(D13+TINV(0.05,76-1)*F13/SQRT(76),"0.00")</f>
        <v>222.20 - 242.59</v>
      </c>
      <c r="J13" s="5" t="n">
        <f aca="false">TINV(0.05,76-1)*F13/SQRT(76)</f>
        <v>10.1966088819195</v>
      </c>
      <c r="K13" s="29" t="n">
        <f aca="false">J13/D13</f>
        <v>0.0438766196647511</v>
      </c>
      <c r="L13" s="27" t="n">
        <f aca="false">AVERAGE(1_Repliques!I223:I298)</f>
        <v>132.525131578947</v>
      </c>
      <c r="M13" s="5" t="n">
        <f aca="false">VAR(1_Repliques!I223:I298)</f>
        <v>336.113713315789</v>
      </c>
      <c r="N13" s="5" t="n">
        <f aca="false">STDEV(1_Repliques!I223:I298)</f>
        <v>18.3334043024145</v>
      </c>
      <c r="O13" s="5" t="n">
        <f aca="false">MIN(1_Repliques!I223:I298)</f>
        <v>86.19</v>
      </c>
      <c r="P13" s="5" t="n">
        <f aca="false">MAX(1_Repliques!I223:I298)</f>
        <v>162.83</v>
      </c>
      <c r="Q13" s="28" t="str">
        <f aca="false">TEXT(L13-TINV(0.05,76-1)*N13/SQRT(76),"0.00")&amp;" - "&amp;TEXT(L13+TINV(0.05,76-1)*N13/SQRT(76),"0.00")</f>
        <v>128.34 - 136.71</v>
      </c>
      <c r="R13" s="5" t="n">
        <f aca="false">TINV(0.05,76-1)*N13/SQRT(76)</f>
        <v>4.18936234518063</v>
      </c>
      <c r="S13" s="29" t="n">
        <f aca="false">R13/L13</f>
        <v>0.0316118331313254</v>
      </c>
      <c r="T13" s="27" t="n">
        <f aca="false">AVERAGE(1_Repliques!J223:J298)</f>
        <v>12.3436973684211</v>
      </c>
      <c r="U13" s="5" t="n">
        <f aca="false">VAR(1_Repliques!J223:J298)</f>
        <v>0.00117453385964912</v>
      </c>
      <c r="V13" s="5" t="n">
        <f aca="false">STDEV(1_Repliques!J223:J298)</f>
        <v>0.0342714729716878</v>
      </c>
      <c r="W13" s="5" t="n">
        <f aca="false">MIN(1_Repliques!J223:J298)</f>
        <v>12.235</v>
      </c>
      <c r="X13" s="5" t="n">
        <f aca="false">MAX(1_Repliques!J223:J298)</f>
        <v>12.426</v>
      </c>
      <c r="Y13" s="28" t="str">
        <f aca="false">TEXT(T13-TINV(0.05,76-1)*V13/SQRT(76),"0.00")&amp;" - "&amp;TEXT(T13+TINV(0.05,76-1)*V13/SQRT(76),"0.00")</f>
        <v>12.34 - 12.35</v>
      </c>
      <c r="Z13" s="5" t="n">
        <f aca="false">TINV(0.05,76-1)*V13/SQRT(76)</f>
        <v>0.0078313670507204</v>
      </c>
      <c r="AA13" s="29" t="n">
        <f aca="false">Z13/T13</f>
        <v>0.000634442567488363</v>
      </c>
      <c r="AB13" s="25" t="str">
        <f aca="false">IF(TINV(0.05,76-1)*STDEV(1_Repliques!H223:H298)/SQRT(76)/AVERAGE(1_Repliques!H223:H298)&lt;0.05,"Si","No")</f>
        <v>Si</v>
      </c>
      <c r="AC13" s="31" t="s">
        <v>50</v>
      </c>
    </row>
    <row r="14" customFormat="false" ht="15.75" hidden="false" customHeight="true" outlineLevel="0" collapsed="false">
      <c r="A14" s="6" t="n">
        <v>11</v>
      </c>
      <c r="B14" s="6" t="s">
        <v>23</v>
      </c>
      <c r="C14" s="7" t="n">
        <v>15</v>
      </c>
      <c r="D14" s="22" t="n">
        <f aca="false">AVERAGE(1_Repliques!H299:H313)</f>
        <v>304.46</v>
      </c>
      <c r="E14" s="8" t="n">
        <f aca="false">VAR(1_Repliques!H299:H313)</f>
        <v>520.993814285714</v>
      </c>
      <c r="F14" s="8" t="n">
        <f aca="false">STDEV(1_Repliques!H299:H313)</f>
        <v>22.8252889200929</v>
      </c>
      <c r="G14" s="8" t="n">
        <f aca="false">MIN(1_Repliques!H299:H313)</f>
        <v>246.17</v>
      </c>
      <c r="H14" s="8" t="n">
        <f aca="false">MAX(1_Repliques!H299:H313)</f>
        <v>339.09</v>
      </c>
      <c r="I14" s="23" t="str">
        <f aca="false">TEXT(D14-TINV(0.05,15-1)*F14/SQRT(15),"0.00")&amp;" - "&amp;TEXT(D14+TINV(0.05,15-1)*F14/SQRT(15),"0.00")</f>
        <v>291.82 - 317.10</v>
      </c>
      <c r="J14" s="8" t="n">
        <f aca="false">TINV(0.05,15-1)*F14/SQRT(15)</f>
        <v>12.6402236848325</v>
      </c>
      <c r="K14" s="24" t="n">
        <f aca="false">J14/D14</f>
        <v>0.0415168616068861</v>
      </c>
      <c r="L14" s="22" t="n">
        <f aca="false">AVERAGE(1_Repliques!I299:I313)</f>
        <v>106.85</v>
      </c>
      <c r="M14" s="8" t="n">
        <f aca="false">VAR(1_Repliques!I299:I313)</f>
        <v>63.2642857142857</v>
      </c>
      <c r="N14" s="8" t="n">
        <f aca="false">STDEV(1_Repliques!I299:I313)</f>
        <v>7.9538849447478</v>
      </c>
      <c r="O14" s="8" t="n">
        <f aca="false">MIN(1_Repliques!I299:I313)</f>
        <v>89.42</v>
      </c>
      <c r="P14" s="8" t="n">
        <f aca="false">MAX(1_Repliques!I299:I313)</f>
        <v>120.82</v>
      </c>
      <c r="Q14" s="23" t="str">
        <f aca="false">TEXT(L14-TINV(0.05,15-1)*N14/SQRT(15),"0.00")&amp;" - "&amp;TEXT(L14+TINV(0.05,15-1)*N14/SQRT(15),"0.00")</f>
        <v>102.45 - 111.25</v>
      </c>
      <c r="R14" s="8" t="n">
        <f aca="false">TINV(0.05,15-1)*N14/SQRT(15)</f>
        <v>4.40471466613203</v>
      </c>
      <c r="S14" s="24" t="n">
        <f aca="false">R14/L14</f>
        <v>0.0412233473667013</v>
      </c>
      <c r="T14" s="22" t="n">
        <f aca="false">AVERAGE(1_Repliques!J299:J313)</f>
        <v>12.5934666666667</v>
      </c>
      <c r="U14" s="8" t="n">
        <f aca="false">VAR(1_Repliques!J299:J313)</f>
        <v>0.00301098095238096</v>
      </c>
      <c r="V14" s="8" t="n">
        <f aca="false">STDEV(1_Repliques!J299:J313)</f>
        <v>0.0548724061107307</v>
      </c>
      <c r="W14" s="8" t="n">
        <f aca="false">MIN(1_Repliques!J299:J313)</f>
        <v>12.48</v>
      </c>
      <c r="X14" s="8" t="n">
        <f aca="false">MAX(1_Repliques!J299:J313)</f>
        <v>12.673</v>
      </c>
      <c r="Y14" s="23" t="str">
        <f aca="false">TEXT(T14-TINV(0.05,15-1)*V14/SQRT(15),"0.00")&amp;" - "&amp;TEXT(T14+TINV(0.05,15-1)*V14/SQRT(15),"0.00")</f>
        <v>12.56 - 12.62</v>
      </c>
      <c r="Z14" s="8" t="n">
        <f aca="false">TINV(0.05,15-1)*V14/SQRT(15)</f>
        <v>0.0303873256453739</v>
      </c>
      <c r="AA14" s="24" t="n">
        <f aca="false">Z14/T14</f>
        <v>0.00241294366751336</v>
      </c>
      <c r="AB14" s="25" t="str">
        <f aca="false">IF(TINV(0.05,15-1)*STDEV(1_Repliques!H299:H313)/SQRT(15)/AVERAGE(1_Repliques!H299:H313)&lt;0.05,"Si","No")</f>
        <v>Si</v>
      </c>
      <c r="AC14" s="26" t="s">
        <v>12</v>
      </c>
    </row>
    <row r="15" customFormat="false" ht="15.75" hidden="false" customHeight="true" outlineLevel="0" collapsed="false">
      <c r="A15" s="3" t="n">
        <v>12</v>
      </c>
      <c r="B15" s="3" t="s">
        <v>24</v>
      </c>
      <c r="C15" s="4" t="n">
        <v>68</v>
      </c>
      <c r="D15" s="27" t="n">
        <f aca="false">AVERAGE(1_Repliques!H314:H381)</f>
        <v>231.689117647059</v>
      </c>
      <c r="E15" s="5" t="n">
        <f aca="false">VAR(1_Repliques!H314:H381)</f>
        <v>1855.94583503073</v>
      </c>
      <c r="F15" s="5" t="n">
        <f aca="false">STDEV(1_Repliques!H314:H381)</f>
        <v>43.0806898160966</v>
      </c>
      <c r="G15" s="5" t="n">
        <f aca="false">MIN(1_Repliques!H314:H381)</f>
        <v>155.9</v>
      </c>
      <c r="H15" s="5" t="n">
        <f aca="false">MAX(1_Repliques!H314:H381)</f>
        <v>296.36</v>
      </c>
      <c r="I15" s="28" t="str">
        <f aca="false">TEXT(D15-TINV(0.05,68-1)*F15/SQRT(68),"0.00")&amp;" - "&amp;TEXT(D15+TINV(0.05,68-1)*F15/SQRT(68),"0.00")</f>
        <v>221.26 - 242.12</v>
      </c>
      <c r="J15" s="5" t="n">
        <f aca="false">TINV(0.05,68-1)*F15/SQRT(68)</f>
        <v>10.4277484714231</v>
      </c>
      <c r="K15" s="29" t="n">
        <f aca="false">J15/D15</f>
        <v>0.0450075021965777</v>
      </c>
      <c r="L15" s="27" t="n">
        <f aca="false">AVERAGE(1_Repliques!I314:I381)</f>
        <v>134.348382352941</v>
      </c>
      <c r="M15" s="5" t="n">
        <f aca="false">VAR(1_Repliques!I314:I381)</f>
        <v>293.554989881475</v>
      </c>
      <c r="N15" s="5" t="n">
        <f aca="false">STDEV(1_Repliques!I314:I381)</f>
        <v>17.1334465266471</v>
      </c>
      <c r="O15" s="5" t="n">
        <f aca="false">MIN(1_Repliques!I314:I381)</f>
        <v>97.18</v>
      </c>
      <c r="P15" s="5" t="n">
        <f aca="false">MAX(1_Repliques!I314:I381)</f>
        <v>160.1</v>
      </c>
      <c r="Q15" s="28" t="str">
        <f aca="false">TEXT(L15-TINV(0.05,68-1)*N15/SQRT(68),"0.00")&amp;" - "&amp;TEXT(L15+TINV(0.05,68-1)*N15/SQRT(68),"0.00")</f>
        <v>130.20 - 138.50</v>
      </c>
      <c r="R15" s="5" t="n">
        <f aca="false">TINV(0.05,68-1)*N15/SQRT(68)</f>
        <v>4.14717757749781</v>
      </c>
      <c r="S15" s="29" t="n">
        <f aca="false">R15/L15</f>
        <v>0.0308688315025851</v>
      </c>
      <c r="T15" s="27" t="n">
        <f aca="false">AVERAGE(1_Repliques!J314:J381)</f>
        <v>12.3438970588235</v>
      </c>
      <c r="U15" s="5" t="n">
        <f aca="false">VAR(1_Repliques!J314:J381)</f>
        <v>0.00111051163301142</v>
      </c>
      <c r="V15" s="5" t="n">
        <f aca="false">STDEV(1_Repliques!J314:J381)</f>
        <v>0.0333243399486235</v>
      </c>
      <c r="W15" s="5" t="n">
        <f aca="false">MIN(1_Repliques!J314:J381)</f>
        <v>12.258</v>
      </c>
      <c r="X15" s="5" t="n">
        <f aca="false">MAX(1_Repliques!J314:J381)</f>
        <v>12.432</v>
      </c>
      <c r="Y15" s="28" t="str">
        <f aca="false">TEXT(T15-TINV(0.05,68-1)*V15/SQRT(68),"0.00")&amp;" - "&amp;TEXT(T15+TINV(0.05,68-1)*V15/SQRT(68),"0.00")</f>
        <v>12.34 - 12.35</v>
      </c>
      <c r="Z15" s="5" t="n">
        <f aca="false">TINV(0.05,68-1)*V15/SQRT(68)</f>
        <v>0.00806620869916073</v>
      </c>
      <c r="AA15" s="29" t="n">
        <f aca="false">Z15/T15</f>
        <v>0.000653457223494499</v>
      </c>
      <c r="AB15" s="25" t="str">
        <f aca="false">IF(TINV(0.05,68-1)*STDEV(1_Repliques!H314:H381)/SQRT(68)/AVERAGE(1_Repliques!H314:H381)&lt;0.05,"Si","No")</f>
        <v>Si</v>
      </c>
      <c r="AC15" s="31" t="s">
        <v>51</v>
      </c>
    </row>
    <row r="16" customFormat="false" ht="15.75" hidden="false" customHeight="true" outlineLevel="0" collapsed="false">
      <c r="A16" s="6" t="n">
        <v>13</v>
      </c>
      <c r="B16" s="6" t="s">
        <v>25</v>
      </c>
      <c r="C16" s="7" t="n">
        <v>42</v>
      </c>
      <c r="D16" s="22" t="n">
        <f aca="false">AVERAGE(1_Repliques!H382:H423)</f>
        <v>404.544047619048</v>
      </c>
      <c r="E16" s="8" t="n">
        <f aca="false">VAR(1_Repliques!H382:H423)</f>
        <v>2333.77750760743</v>
      </c>
      <c r="F16" s="8" t="n">
        <f aca="false">STDEV(1_Repliques!H382:H423)</f>
        <v>48.309186575717</v>
      </c>
      <c r="G16" s="8" t="n">
        <f aca="false">MIN(1_Repliques!H382:H423)</f>
        <v>305.36</v>
      </c>
      <c r="H16" s="8" t="n">
        <f aca="false">MAX(1_Repliques!H382:H423)</f>
        <v>534.81</v>
      </c>
      <c r="I16" s="23" t="str">
        <f aca="false">TEXT(D16-TINV(0.05,42-1)*F16/SQRT(42),"0.00")&amp;" - "&amp;TEXT(D16+TINV(0.05,42-1)*F16/SQRT(42),"0.00")</f>
        <v>389.49 - 419.60</v>
      </c>
      <c r="J16" s="8" t="n">
        <f aca="false">TINV(0.05,42-1)*F16/SQRT(42)</f>
        <v>15.0542023016482</v>
      </c>
      <c r="K16" s="24" t="n">
        <f aca="false">J16/D16</f>
        <v>0.0372127643213392</v>
      </c>
      <c r="L16" s="22" t="n">
        <f aca="false">AVERAGE(1_Repliques!I382:I423)</f>
        <v>7.80142857142857</v>
      </c>
      <c r="M16" s="8" t="n">
        <f aca="false">VAR(1_Repliques!I382:I423)</f>
        <v>0.747412543554007</v>
      </c>
      <c r="N16" s="8" t="n">
        <f aca="false">STDEV(1_Repliques!I382:I423)</f>
        <v>0.864530244441458</v>
      </c>
      <c r="O16" s="8" t="n">
        <f aca="false">MIN(1_Repliques!I382:I423)</f>
        <v>6.5</v>
      </c>
      <c r="P16" s="8" t="n">
        <f aca="false">MAX(1_Repliques!I382:I423)</f>
        <v>9.97</v>
      </c>
      <c r="Q16" s="23" t="str">
        <f aca="false">TEXT(L16-TINV(0.05,42-1)*N16/SQRT(42),"0.00")&amp;" - "&amp;TEXT(L16+TINV(0.05,42-1)*N16/SQRT(42),"0.00")</f>
        <v>7.53 - 8.07</v>
      </c>
      <c r="R16" s="8" t="n">
        <f aca="false">TINV(0.05,42-1)*N16/SQRT(42)</f>
        <v>0.269406589475823</v>
      </c>
      <c r="S16" s="24" t="n">
        <f aca="false">R16/L16</f>
        <v>0.0345329816211455</v>
      </c>
      <c r="T16" s="22" t="n">
        <f aca="false">AVERAGE(1_Repliques!J382:J423)</f>
        <v>15.2604761904762</v>
      </c>
      <c r="U16" s="8" t="n">
        <f aca="false">VAR(1_Repliques!J382:J423)</f>
        <v>0.000388938443670146</v>
      </c>
      <c r="V16" s="8" t="n">
        <f aca="false">STDEV(1_Repliques!J382:J423)</f>
        <v>0.0197215223466685</v>
      </c>
      <c r="W16" s="8" t="n">
        <f aca="false">MIN(1_Repliques!J382:J423)</f>
        <v>15.222</v>
      </c>
      <c r="X16" s="8" t="n">
        <f aca="false">MAX(1_Repliques!J382:J423)</f>
        <v>15.308</v>
      </c>
      <c r="Y16" s="23" t="str">
        <f aca="false">TEXT(T16-TINV(0.05,42-1)*V16/SQRT(42),"0.00")&amp;" - "&amp;TEXT(T16+TINV(0.05,42-1)*V16/SQRT(42),"0.00")</f>
        <v>15.25 - 15.27</v>
      </c>
      <c r="Z16" s="8" t="n">
        <f aca="false">TINV(0.05,42-1)*V16/SQRT(42)</f>
        <v>0.00614565899671885</v>
      </c>
      <c r="AA16" s="24" t="n">
        <f aca="false">Z16/T16</f>
        <v>0.000402717380507055</v>
      </c>
      <c r="AB16" s="25" t="str">
        <f aca="false">IF(TINV(0.05,42-1)*STDEV(1_Repliques!H382:H423)/SQRT(42)/AVERAGE(1_Repliques!H382:H423)&lt;0.05,"Si","No")</f>
        <v>Si</v>
      </c>
      <c r="AC16" s="31" t="s">
        <v>52</v>
      </c>
    </row>
    <row r="17" customFormat="false" ht="15.75" hidden="false" customHeight="true" outlineLevel="0" collapsed="false">
      <c r="A17" s="3" t="n">
        <v>14</v>
      </c>
      <c r="B17" s="3" t="s">
        <v>26</v>
      </c>
      <c r="C17" s="4" t="n">
        <v>26</v>
      </c>
      <c r="D17" s="27" t="n">
        <f aca="false">AVERAGE(1_Repliques!H424:H449)</f>
        <v>370.150769230769</v>
      </c>
      <c r="E17" s="5" t="n">
        <f aca="false">VAR(1_Repliques!H424:H449)</f>
        <v>2294.48499138462</v>
      </c>
      <c r="F17" s="5" t="n">
        <f aca="false">STDEV(1_Repliques!H424:H449)</f>
        <v>47.900782784675</v>
      </c>
      <c r="G17" s="5" t="n">
        <f aca="false">MIN(1_Repliques!H424:H449)</f>
        <v>287.51</v>
      </c>
      <c r="H17" s="5" t="n">
        <f aca="false">MAX(1_Repliques!H424:H449)</f>
        <v>502.9</v>
      </c>
      <c r="I17" s="28" t="str">
        <f aca="false">TEXT(D17-TINV(0.05,26-1)*F17/SQRT(26),"0.00")&amp;" - "&amp;TEXT(D17+TINV(0.05,26-1)*F17/SQRT(26),"0.00")</f>
        <v>350.80 - 389.50</v>
      </c>
      <c r="J17" s="5" t="n">
        <f aca="false">TINV(0.05,26-1)*F17/SQRT(26)</f>
        <v>19.3475448738944</v>
      </c>
      <c r="K17" s="29" t="n">
        <f aca="false">J17/D17</f>
        <v>0.0522693628709771</v>
      </c>
      <c r="L17" s="27" t="n">
        <f aca="false">AVERAGE(1_Repliques!I424:I449)</f>
        <v>7.52923076923077</v>
      </c>
      <c r="M17" s="5" t="n">
        <f aca="false">VAR(1_Repliques!I424:I449)</f>
        <v>0.523175384615384</v>
      </c>
      <c r="N17" s="5" t="n">
        <f aca="false">STDEV(1_Repliques!I424:I449)</f>
        <v>0.72330863717737</v>
      </c>
      <c r="O17" s="5" t="n">
        <f aca="false">MIN(1_Repliques!I424:I449)</f>
        <v>5.62</v>
      </c>
      <c r="P17" s="5" t="n">
        <f aca="false">MAX(1_Repliques!I424:I449)</f>
        <v>8.64</v>
      </c>
      <c r="Q17" s="28" t="str">
        <f aca="false">TEXT(L17-TINV(0.05,26-1)*N17/SQRT(26),"0.00")&amp;" - "&amp;TEXT(L17+TINV(0.05,26-1)*N17/SQRT(26),"0.00")</f>
        <v>7.24 - 7.82</v>
      </c>
      <c r="R17" s="5" t="n">
        <f aca="false">TINV(0.05,26-1)*N17/SQRT(26)</f>
        <v>0.292150681093708</v>
      </c>
      <c r="S17" s="29" t="n">
        <f aca="false">R17/L17</f>
        <v>0.0388021950778321</v>
      </c>
      <c r="T17" s="27" t="n">
        <f aca="false">AVERAGE(1_Repliques!J424:J449)</f>
        <v>25.4285384615385</v>
      </c>
      <c r="U17" s="5" t="n">
        <f aca="false">VAR(1_Repliques!J424:J449)</f>
        <v>0.00089369846153848</v>
      </c>
      <c r="V17" s="5" t="n">
        <f aca="false">STDEV(1_Repliques!J424:J449)</f>
        <v>0.0298947898727935</v>
      </c>
      <c r="W17" s="5" t="n">
        <f aca="false">MIN(1_Repliques!J424:J449)</f>
        <v>25.373</v>
      </c>
      <c r="X17" s="5" t="n">
        <f aca="false">MAX(1_Repliques!J424:J449)</f>
        <v>25.497</v>
      </c>
      <c r="Y17" s="28" t="str">
        <f aca="false">TEXT(T17-TINV(0.05,26-1)*V17/SQRT(26),"0.00")&amp;" - "&amp;TEXT(T17+TINV(0.05,26-1)*V17/SQRT(26),"0.00")</f>
        <v>25.42 - 25.44</v>
      </c>
      <c r="Z17" s="5" t="n">
        <f aca="false">TINV(0.05,26-1)*V17/SQRT(26)</f>
        <v>0.0120747669439875</v>
      </c>
      <c r="AA17" s="29" t="n">
        <f aca="false">Z17/T17</f>
        <v>0.000474851001061306</v>
      </c>
      <c r="AB17" s="32" t="str">
        <f aca="false">IF(TINV(0.05,26-1)*STDEV(1_Repliques!H424:H449)/SQRT(26)/AVERAGE(1_Repliques!H424:H449)&lt;0.05,"Si","No")</f>
        <v>No</v>
      </c>
      <c r="AC17" s="31" t="s">
        <v>53</v>
      </c>
    </row>
    <row r="18" customFormat="false" ht="15.75" hidden="false" customHeight="true" outlineLevel="0" collapsed="false">
      <c r="A18" s="6" t="n">
        <v>15</v>
      </c>
      <c r="B18" s="6" t="s">
        <v>27</v>
      </c>
      <c r="C18" s="7" t="n">
        <v>25</v>
      </c>
      <c r="D18" s="22" t="n">
        <f aca="false">AVERAGE(1_Repliques!H450:H474)</f>
        <v>155.8304</v>
      </c>
      <c r="E18" s="8" t="n">
        <f aca="false">VAR(1_Repliques!H450:H474)</f>
        <v>1.784054</v>
      </c>
      <c r="F18" s="8" t="n">
        <f aca="false">STDEV(1_Repliques!H450:H474)</f>
        <v>1.33568484306741</v>
      </c>
      <c r="G18" s="8" t="n">
        <f aca="false">MIN(1_Repliques!H450:H474)</f>
        <v>152.32</v>
      </c>
      <c r="H18" s="8" t="n">
        <f aca="false">MAX(1_Repliques!H450:H474)</f>
        <v>157.96</v>
      </c>
      <c r="I18" s="23" t="str">
        <f aca="false">TEXT(D18-TINV(0.05,25-1)*F18/SQRT(25),"0.00")&amp;" - "&amp;TEXT(D18+TINV(0.05,25-1)*F18/SQRT(25),"0.00")</f>
        <v>155.28 - 156.38</v>
      </c>
      <c r="J18" s="8" t="n">
        <f aca="false">TINV(0.05,25-1)*F18/SQRT(25)</f>
        <v>0.551343605279036</v>
      </c>
      <c r="K18" s="24" t="n">
        <f aca="false">J18/D18</f>
        <v>0.00353810043020512</v>
      </c>
      <c r="L18" s="22" t="n">
        <f aca="false">AVERAGE(1_Repliques!I450:I474)</f>
        <v>7.9056</v>
      </c>
      <c r="M18" s="8" t="n">
        <f aca="false">VAR(1_Repliques!I450:I474)</f>
        <v>0.661375666666667</v>
      </c>
      <c r="N18" s="8" t="n">
        <f aca="false">STDEV(1_Repliques!I450:I474)</f>
        <v>0.813250064043445</v>
      </c>
      <c r="O18" s="8" t="n">
        <f aca="false">MIN(1_Repliques!I450:I474)</f>
        <v>6.35</v>
      </c>
      <c r="P18" s="8" t="n">
        <f aca="false">MAX(1_Repliques!I450:I474)</f>
        <v>9.31</v>
      </c>
      <c r="Q18" s="23" t="str">
        <f aca="false">TEXT(L18-TINV(0.05,25-1)*N18/SQRT(25),"0.00")&amp;" - "&amp;TEXT(L18+TINV(0.05,25-1)*N18/SQRT(25),"0.00")</f>
        <v>7.57 - 8.24</v>
      </c>
      <c r="R18" s="8" t="n">
        <f aca="false">TINV(0.05,25-1)*N18/SQRT(25)</f>
        <v>0.335693127484633</v>
      </c>
      <c r="S18" s="24" t="n">
        <f aca="false">R18/L18</f>
        <v>0.0424627008050791</v>
      </c>
      <c r="T18" s="22" t="n">
        <f aca="false">AVERAGE(1_Repliques!J450:J474)</f>
        <v>15.2562</v>
      </c>
      <c r="U18" s="8" t="n">
        <f aca="false">VAR(1_Repliques!J450:J474)</f>
        <v>0.000302000000000001</v>
      </c>
      <c r="V18" s="8" t="n">
        <f aca="false">STDEV(1_Repliques!J450:J474)</f>
        <v>0.0173781471969828</v>
      </c>
      <c r="W18" s="8" t="n">
        <f aca="false">MIN(1_Repliques!J450:J474)</f>
        <v>15.224</v>
      </c>
      <c r="X18" s="8" t="n">
        <f aca="false">MAX(1_Repliques!J450:J474)</f>
        <v>15.285</v>
      </c>
      <c r="Y18" s="23" t="str">
        <f aca="false">TEXT(T18-TINV(0.05,25-1)*V18/SQRT(25),"0.00")&amp;" - "&amp;TEXT(T18+TINV(0.05,25-1)*V18/SQRT(25),"0.00")</f>
        <v>15.25 - 15.26</v>
      </c>
      <c r="Z18" s="8" t="n">
        <f aca="false">TINV(0.05,25-1)*V18/SQRT(25)</f>
        <v>0.00717334660072258</v>
      </c>
      <c r="AA18" s="24" t="n">
        <f aca="false">Z18/T18</f>
        <v>0.00047019222353683</v>
      </c>
      <c r="AB18" s="25" t="str">
        <f aca="false">IF(TINV(0.05,25-1)*STDEV(1_Repliques!H450:H474)/SQRT(25)/AVERAGE(1_Repliques!H450:H474)&lt;0.05,"Si","No")</f>
        <v>Si</v>
      </c>
      <c r="AC18" s="31" t="s">
        <v>54</v>
      </c>
    </row>
    <row r="19" customFormat="false" ht="15.75" hidden="false" customHeight="true" outlineLevel="0" collapsed="false">
      <c r="A19" s="3" t="n">
        <v>16</v>
      </c>
      <c r="B19" s="3" t="s">
        <v>28</v>
      </c>
      <c r="C19" s="4" t="n">
        <v>16</v>
      </c>
      <c r="D19" s="27" t="n">
        <f aca="false">AVERAGE(1_Repliques!H475:H490)</f>
        <v>155.4975</v>
      </c>
      <c r="E19" s="5" t="n">
        <f aca="false">VAR(1_Repliques!H475:H490)</f>
        <v>1.46248666666667</v>
      </c>
      <c r="F19" s="5" t="n">
        <f aca="false">STDEV(1_Repliques!H475:H490)</f>
        <v>1.20933314957735</v>
      </c>
      <c r="G19" s="5" t="n">
        <f aca="false">MIN(1_Repliques!H475:H490)</f>
        <v>153.43</v>
      </c>
      <c r="H19" s="5" t="n">
        <f aca="false">MAX(1_Repliques!H475:H490)</f>
        <v>158.21</v>
      </c>
      <c r="I19" s="28" t="str">
        <f aca="false">TEXT(D19-TINV(0.05,16-1)*F19/SQRT(16),"0.00")&amp;" - "&amp;TEXT(D19+TINV(0.05,16-1)*F19/SQRT(16),"0.00")</f>
        <v>154.85 - 156.14</v>
      </c>
      <c r="J19" s="5" t="n">
        <f aca="false">TINV(0.05,16-1)*F19/SQRT(16)</f>
        <v>0.644408148024252</v>
      </c>
      <c r="K19" s="29" t="n">
        <f aca="false">J19/D19</f>
        <v>0.00414417047235005</v>
      </c>
      <c r="L19" s="27" t="n">
        <f aca="false">AVERAGE(1_Repliques!I475:I490)</f>
        <v>7.92875</v>
      </c>
      <c r="M19" s="5" t="n">
        <f aca="false">VAR(1_Repliques!I475:I490)</f>
        <v>0.507051666666666</v>
      </c>
      <c r="N19" s="5" t="n">
        <f aca="false">STDEV(1_Repliques!I475:I490)</f>
        <v>0.712075604600148</v>
      </c>
      <c r="O19" s="5" t="n">
        <f aca="false">MIN(1_Repliques!I475:I490)</f>
        <v>6.74</v>
      </c>
      <c r="P19" s="5" t="n">
        <f aca="false">MAX(1_Repliques!I475:I490)</f>
        <v>8.95</v>
      </c>
      <c r="Q19" s="28" t="str">
        <f aca="false">TEXT(L19-TINV(0.05,16-1)*N19/SQRT(16),"0.00")&amp;" - "&amp;TEXT(L19+TINV(0.05,16-1)*N19/SQRT(16),"0.00")</f>
        <v>7.55 - 8.31</v>
      </c>
      <c r="R19" s="5" t="n">
        <f aca="false">TINV(0.05,16-1)*N19/SQRT(16)</f>
        <v>0.379438305957297</v>
      </c>
      <c r="S19" s="29" t="n">
        <f aca="false">R19/L19</f>
        <v>0.0478560057962853</v>
      </c>
      <c r="T19" s="27" t="n">
        <f aca="false">AVERAGE(1_Repliques!J475:J490)</f>
        <v>25.4333125</v>
      </c>
      <c r="U19" s="5" t="n">
        <f aca="false">VAR(1_Repliques!J475:J490)</f>
        <v>0.00105022916666667</v>
      </c>
      <c r="V19" s="5" t="n">
        <f aca="false">STDEV(1_Repliques!J475:J490)</f>
        <v>0.032407239417554</v>
      </c>
      <c r="W19" s="5" t="n">
        <f aca="false">MIN(1_Repliques!J475:J490)</f>
        <v>25.389</v>
      </c>
      <c r="X19" s="5" t="n">
        <f aca="false">MAX(1_Repliques!J475:J490)</f>
        <v>25.504</v>
      </c>
      <c r="Y19" s="28" t="str">
        <f aca="false">TEXT(T19-TINV(0.05,16-1)*V19/SQRT(16),"0.00")&amp;" - "&amp;TEXT(T19+TINV(0.05,16-1)*V19/SQRT(16),"0.00")</f>
        <v>25.42 - 25.45</v>
      </c>
      <c r="Z19" s="5" t="n">
        <f aca="false">TINV(0.05,16-1)*V19/SQRT(16)</f>
        <v>0.0172685989323481</v>
      </c>
      <c r="AA19" s="29" t="n">
        <f aca="false">Z19/T19</f>
        <v>0.000678975612490433</v>
      </c>
      <c r="AB19" s="25" t="str">
        <f aca="false">IF(TINV(0.05,16-1)*STDEV(1_Repliques!H475:H490)/SQRT(16)/AVERAGE(1_Repliques!H475:H490)&lt;0.05,"Si","No")</f>
        <v>Si</v>
      </c>
      <c r="AC19" s="31" t="s">
        <v>55</v>
      </c>
    </row>
  </sheetData>
  <mergeCells count="6">
    <mergeCell ref="A1:AC1"/>
    <mergeCell ref="A2:C2"/>
    <mergeCell ref="D2:K2"/>
    <mergeCell ref="L2:S2"/>
    <mergeCell ref="T2:AA2"/>
    <mergeCell ref="AB2:A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5" min="1" style="0" width="8"/>
  </cols>
  <sheetData>
    <row r="1" customFormat="false" ht="15" hidden="false" customHeight="true" outlineLevel="0" collapsed="false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15" hidden="false" customHeight="true" outlineLevel="0" collapsed="false">
      <c r="A2" s="12" t="s">
        <v>57</v>
      </c>
      <c r="B2" s="12"/>
      <c r="C2" s="12"/>
      <c r="D2" s="12"/>
      <c r="E2" s="12"/>
      <c r="F2" s="13" t="s">
        <v>58</v>
      </c>
      <c r="G2" s="13"/>
      <c r="H2" s="13"/>
      <c r="I2" s="14" t="s">
        <v>59</v>
      </c>
      <c r="J2" s="14"/>
      <c r="K2" s="14"/>
      <c r="L2" s="15" t="s">
        <v>60</v>
      </c>
      <c r="M2" s="15"/>
      <c r="N2" s="15"/>
      <c r="O2" s="16" t="s">
        <v>61</v>
      </c>
      <c r="P2" s="16"/>
      <c r="Q2" s="16"/>
      <c r="R2" s="16"/>
      <c r="S2" s="16"/>
      <c r="T2" s="16"/>
      <c r="U2" s="16"/>
      <c r="V2" s="14" t="s">
        <v>62</v>
      </c>
      <c r="W2" s="14"/>
      <c r="X2" s="14"/>
      <c r="Y2" s="14"/>
      <c r="Z2" s="14"/>
      <c r="AA2" s="14"/>
      <c r="AB2" s="14"/>
      <c r="AC2" s="15" t="s">
        <v>63</v>
      </c>
      <c r="AD2" s="15"/>
      <c r="AE2" s="15"/>
      <c r="AF2" s="15"/>
      <c r="AG2" s="15"/>
      <c r="AH2" s="15"/>
      <c r="AI2" s="15"/>
    </row>
    <row r="3" customFormat="false" ht="27.75" hidden="false" customHeight="true" outlineLevel="0" collapsed="false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7" t="s">
        <v>64</v>
      </c>
      <c r="G3" s="17" t="s">
        <v>65</v>
      </c>
      <c r="H3" s="17" t="s">
        <v>66</v>
      </c>
      <c r="I3" s="17" t="s">
        <v>67</v>
      </c>
      <c r="J3" s="17" t="s">
        <v>65</v>
      </c>
      <c r="K3" s="17" t="s">
        <v>66</v>
      </c>
      <c r="L3" s="17" t="s">
        <v>68</v>
      </c>
      <c r="M3" s="17" t="s">
        <v>65</v>
      </c>
      <c r="N3" s="17" t="s">
        <v>66</v>
      </c>
      <c r="O3" s="21" t="s">
        <v>69</v>
      </c>
      <c r="P3" s="21" t="s">
        <v>70</v>
      </c>
      <c r="Q3" s="21" t="s">
        <v>71</v>
      </c>
      <c r="R3" s="21" t="s">
        <v>72</v>
      </c>
      <c r="S3" s="21" t="s">
        <v>73</v>
      </c>
      <c r="T3" s="21" t="s">
        <v>74</v>
      </c>
      <c r="U3" s="21" t="s">
        <v>75</v>
      </c>
      <c r="V3" s="19" t="s">
        <v>76</v>
      </c>
      <c r="W3" s="19" t="s">
        <v>70</v>
      </c>
      <c r="X3" s="19" t="s">
        <v>71</v>
      </c>
      <c r="Y3" s="19" t="s">
        <v>72</v>
      </c>
      <c r="Z3" s="19" t="s">
        <v>73</v>
      </c>
      <c r="AA3" s="19" t="s">
        <v>77</v>
      </c>
      <c r="AB3" s="19" t="s">
        <v>75</v>
      </c>
      <c r="AC3" s="20" t="s">
        <v>78</v>
      </c>
      <c r="AD3" s="20" t="s">
        <v>70</v>
      </c>
      <c r="AE3" s="20" t="s">
        <v>71</v>
      </c>
      <c r="AF3" s="20" t="s">
        <v>72</v>
      </c>
      <c r="AG3" s="20" t="s">
        <v>73</v>
      </c>
      <c r="AH3" s="20" t="s">
        <v>79</v>
      </c>
      <c r="AI3" s="20" t="s">
        <v>75</v>
      </c>
    </row>
    <row r="4" customFormat="false" ht="15.75" hidden="false" customHeight="true" outlineLevel="0" collapsed="false">
      <c r="A4" s="6" t="s">
        <v>11</v>
      </c>
      <c r="B4" s="7" t="s">
        <v>12</v>
      </c>
      <c r="C4" s="7" t="s">
        <v>12</v>
      </c>
      <c r="D4" s="7" t="s">
        <v>12</v>
      </c>
      <c r="E4" s="7" t="s">
        <v>12</v>
      </c>
      <c r="F4" s="33" t="n">
        <f aca="false">3_Estadistics!D4</f>
        <v>688.376</v>
      </c>
      <c r="G4" s="34" t="n">
        <f aca="false">F4-TINV(0.05,15-1)*3_Estadistics!F4/SQRT(15)</f>
        <v>658.938550852773</v>
      </c>
      <c r="H4" s="34" t="n">
        <f aca="false">F4+TINV(0.05,15-1)*3_Estadistics!F4/SQRT(15)</f>
        <v>717.813449147227</v>
      </c>
      <c r="I4" s="33" t="n">
        <f aca="false">3_Estadistics!L4</f>
        <v>107.450666666667</v>
      </c>
      <c r="J4" s="34" t="n">
        <f aca="false">I4-TINV(0.05,15-1)*3_Estadistics!N4/SQRT(15)</f>
        <v>104.641637457699</v>
      </c>
      <c r="K4" s="34" t="n">
        <f aca="false">I4+TINV(0.05,15-1)*3_Estadistics!N4/SQRT(15)</f>
        <v>110.259695875634</v>
      </c>
      <c r="L4" s="33" t="n">
        <f aca="false">3_Estadistics!T4</f>
        <v>14.3239333333333</v>
      </c>
      <c r="M4" s="34" t="n">
        <f aca="false">L4-TINV(0.05,15-1)*3_Estadistics!V4/SQRT(15)</f>
        <v>14.2909948236395</v>
      </c>
      <c r="N4" s="34" t="n">
        <f aca="false">L4+TINV(0.05,15-1)*3_Estadistics!V4/SQRT(15)</f>
        <v>14.3568718430272</v>
      </c>
      <c r="O4" s="34" t="n">
        <f aca="false">F4</f>
        <v>688.376</v>
      </c>
      <c r="P4" s="34" t="n">
        <f aca="false">O4+O5</f>
        <v>1013.1</v>
      </c>
      <c r="Q4" s="34" t="n">
        <f aca="false">P4+P6</f>
        <v>1701.85066666667</v>
      </c>
      <c r="R4" s="34" t="n">
        <f aca="false">Q4+Q8</f>
        <v>3124.6833617505</v>
      </c>
      <c r="S4" s="34" t="n">
        <f aca="false">R4+R12</f>
        <v>5359.52367369098</v>
      </c>
      <c r="T4" s="35" t="n">
        <f aca="false">S4/16</f>
        <v>334.970229605686</v>
      </c>
      <c r="U4" s="36" t="s">
        <v>36</v>
      </c>
      <c r="V4" s="34" t="n">
        <f aca="false">I4</f>
        <v>107.450666666667</v>
      </c>
      <c r="W4" s="34" t="n">
        <f aca="false">V4+V5</f>
        <v>261.416666666667</v>
      </c>
      <c r="X4" s="34" t="n">
        <f aca="false">W4+W6</f>
        <v>520.924</v>
      </c>
      <c r="Y4" s="34" t="n">
        <f aca="false">X4+X8</f>
        <v>572.985066354078</v>
      </c>
      <c r="Z4" s="34" t="n">
        <f aca="false">Y4+Y12</f>
        <v>1075.1421610552</v>
      </c>
      <c r="AA4" s="35" t="n">
        <f aca="false">Z4/16</f>
        <v>67.1963850659498</v>
      </c>
      <c r="AB4" s="36" t="s">
        <v>36</v>
      </c>
      <c r="AC4" s="34" t="n">
        <f aca="false">L4</f>
        <v>14.3239333333333</v>
      </c>
      <c r="AD4" s="34" t="n">
        <f aca="false">AC4+AC5</f>
        <v>27.7428</v>
      </c>
      <c r="AE4" s="34" t="n">
        <f aca="false">AD4+AD6</f>
        <v>55.5378</v>
      </c>
      <c r="AF4" s="34" t="n">
        <f aca="false">AE4+AE8</f>
        <v>141.102589869281</v>
      </c>
      <c r="AG4" s="34" t="n">
        <f aca="false">AF4+AF12</f>
        <v>272.338749543778</v>
      </c>
      <c r="AH4" s="35" t="n">
        <f aca="false">AG4/16</f>
        <v>17.0211718464861</v>
      </c>
      <c r="AI4" s="36" t="s">
        <v>36</v>
      </c>
    </row>
    <row r="5" customFormat="false" ht="15.75" hidden="false" customHeight="true" outlineLevel="0" collapsed="false">
      <c r="A5" s="3" t="s">
        <v>13</v>
      </c>
      <c r="B5" s="4" t="s">
        <v>14</v>
      </c>
      <c r="C5" s="4" t="s">
        <v>12</v>
      </c>
      <c r="D5" s="4" t="s">
        <v>12</v>
      </c>
      <c r="E5" s="4" t="s">
        <v>12</v>
      </c>
      <c r="F5" s="37" t="n">
        <f aca="false">3_Estadistics!D5</f>
        <v>324.724</v>
      </c>
      <c r="G5" s="38" t="n">
        <f aca="false">F5-TINV(0.05,15-1)*3_Estadistics!F5/SQRT(15)</f>
        <v>313.463951244716</v>
      </c>
      <c r="H5" s="38" t="n">
        <f aca="false">F5+TINV(0.05,15-1)*3_Estadistics!F5/SQRT(15)</f>
        <v>335.984048755284</v>
      </c>
      <c r="I5" s="37" t="n">
        <f aca="false">3_Estadistics!L5</f>
        <v>153.966</v>
      </c>
      <c r="J5" s="38" t="n">
        <f aca="false">I5-TINV(0.05,15-1)*3_Estadistics!N5/SQRT(15)</f>
        <v>149.688240342218</v>
      </c>
      <c r="K5" s="38" t="n">
        <f aca="false">I5+TINV(0.05,15-1)*3_Estadistics!N5/SQRT(15)</f>
        <v>158.243759657782</v>
      </c>
      <c r="L5" s="37" t="n">
        <f aca="false">3_Estadistics!T5</f>
        <v>13.4188666666667</v>
      </c>
      <c r="M5" s="38" t="n">
        <f aca="false">L5-TINV(0.05,15-1)*3_Estadistics!V5/SQRT(15)</f>
        <v>13.3772177783279</v>
      </c>
      <c r="N5" s="38" t="n">
        <f aca="false">L5+TINV(0.05,15-1)*3_Estadistics!V5/SQRT(15)</f>
        <v>13.4605155550054</v>
      </c>
      <c r="O5" s="38" t="n">
        <f aca="false">F5</f>
        <v>324.724</v>
      </c>
      <c r="P5" s="38" t="n">
        <f aca="false">O5-O4</f>
        <v>-363.652</v>
      </c>
      <c r="Q5" s="38" t="n">
        <f aca="false">P5+P7</f>
        <v>-455.584</v>
      </c>
      <c r="R5" s="38" t="n">
        <f aca="false">Q5+Q9</f>
        <v>-568.497448707019</v>
      </c>
      <c r="S5" s="38" t="n">
        <f aca="false">R5+R13</f>
        <v>-823.877460576058</v>
      </c>
      <c r="T5" s="39" t="n">
        <f aca="false">S5/8</f>
        <v>-102.984682572007</v>
      </c>
      <c r="U5" s="40" t="s">
        <v>3</v>
      </c>
      <c r="V5" s="38" t="n">
        <f aca="false">I5</f>
        <v>153.966</v>
      </c>
      <c r="W5" s="38" t="n">
        <f aca="false">V5-V4</f>
        <v>46.5153333333333</v>
      </c>
      <c r="X5" s="38" t="n">
        <f aca="false">W5+W7</f>
        <v>86.8666666666667</v>
      </c>
      <c r="Y5" s="38" t="n">
        <f aca="false">X5+X9</f>
        <v>79.7116872691105</v>
      </c>
      <c r="Z5" s="38" t="n">
        <f aca="false">Y5+Y13</f>
        <v>142.21758197023</v>
      </c>
      <c r="AA5" s="39" t="n">
        <f aca="false">Z5/8</f>
        <v>17.7771977462787</v>
      </c>
      <c r="AB5" s="40" t="s">
        <v>3</v>
      </c>
      <c r="AC5" s="38" t="n">
        <f aca="false">L5</f>
        <v>13.4188666666667</v>
      </c>
      <c r="AD5" s="38" t="n">
        <f aca="false">AC5-AC4</f>
        <v>-0.905066666666667</v>
      </c>
      <c r="AE5" s="38" t="n">
        <f aca="false">AD5+AD7</f>
        <v>-1.9986</v>
      </c>
      <c r="AF5" s="38" t="n">
        <f aca="false">AE5+AE9</f>
        <v>18.759010130719</v>
      </c>
      <c r="AG5" s="38" t="n">
        <f aca="false">AF5+AF13</f>
        <v>38.6217412337877</v>
      </c>
      <c r="AH5" s="39" t="n">
        <f aca="false">AG5/8</f>
        <v>4.82771765422346</v>
      </c>
      <c r="AI5" s="40" t="s">
        <v>3</v>
      </c>
    </row>
    <row r="6" customFormat="false" ht="15.75" hidden="false" customHeight="true" outlineLevel="0" collapsed="false">
      <c r="A6" s="6" t="s">
        <v>15</v>
      </c>
      <c r="B6" s="7" t="s">
        <v>12</v>
      </c>
      <c r="C6" s="7" t="s">
        <v>14</v>
      </c>
      <c r="D6" s="7" t="s">
        <v>12</v>
      </c>
      <c r="E6" s="7" t="s">
        <v>12</v>
      </c>
      <c r="F6" s="33" t="n">
        <f aca="false">3_Estadistics!D6</f>
        <v>390.341333333333</v>
      </c>
      <c r="G6" s="34" t="n">
        <f aca="false">F6-TINV(0.05,15-1)*3_Estadistics!F6/SQRT(15)</f>
        <v>383.031677138774</v>
      </c>
      <c r="H6" s="34" t="n">
        <f aca="false">F6+TINV(0.05,15-1)*3_Estadistics!F6/SQRT(15)</f>
        <v>397.650989527893</v>
      </c>
      <c r="I6" s="33" t="n">
        <f aca="false">3_Estadistics!L6</f>
        <v>109.578</v>
      </c>
      <c r="J6" s="34" t="n">
        <f aca="false">I6-TINV(0.05,15-1)*3_Estadistics!N6/SQRT(15)</f>
        <v>107.218146803567</v>
      </c>
      <c r="K6" s="34" t="n">
        <f aca="false">I6+TINV(0.05,15-1)*3_Estadistics!N6/SQRT(15)</f>
        <v>111.937853196433</v>
      </c>
      <c r="L6" s="33" t="n">
        <f aca="false">3_Estadistics!T6</f>
        <v>14.4442666666667</v>
      </c>
      <c r="M6" s="34" t="n">
        <f aca="false">L6-TINV(0.05,15-1)*3_Estadistics!V6/SQRT(15)</f>
        <v>14.4002675536237</v>
      </c>
      <c r="N6" s="34" t="n">
        <f aca="false">L6+TINV(0.05,15-1)*3_Estadistics!V6/SQRT(15)</f>
        <v>14.4882657797096</v>
      </c>
      <c r="O6" s="34" t="n">
        <f aca="false">F6</f>
        <v>390.341333333333</v>
      </c>
      <c r="P6" s="34" t="n">
        <f aca="false">O6+O7</f>
        <v>688.750666666667</v>
      </c>
      <c r="Q6" s="34" t="n">
        <f aca="false">P6-P4</f>
        <v>-324.349333333333</v>
      </c>
      <c r="R6" s="34" t="n">
        <f aca="false">Q6+Q10</f>
        <v>-1022.2727735152</v>
      </c>
      <c r="S6" s="34" t="n">
        <f aca="false">R6+R14</f>
        <v>-1562.15905016157</v>
      </c>
      <c r="T6" s="35" t="n">
        <f aca="false">S6/8</f>
        <v>-195.269881270196</v>
      </c>
      <c r="U6" s="36" t="s">
        <v>4</v>
      </c>
      <c r="V6" s="34" t="n">
        <f aca="false">I6</f>
        <v>109.578</v>
      </c>
      <c r="W6" s="34" t="n">
        <f aca="false">V6+V7</f>
        <v>259.507333333333</v>
      </c>
      <c r="X6" s="34" t="n">
        <f aca="false">W6-W4</f>
        <v>-1.90933333333328</v>
      </c>
      <c r="Y6" s="34" t="n">
        <f aca="false">X6+X10</f>
        <v>4.77509050866728</v>
      </c>
      <c r="Z6" s="34" t="n">
        <f aca="false">Y6+Y14</f>
        <v>16.6834605134303</v>
      </c>
      <c r="AA6" s="35" t="n">
        <f aca="false">Z6/8</f>
        <v>2.08543256417879</v>
      </c>
      <c r="AB6" s="36" t="s">
        <v>4</v>
      </c>
      <c r="AC6" s="34" t="n">
        <f aca="false">L6</f>
        <v>14.4442666666667</v>
      </c>
      <c r="AD6" s="34" t="n">
        <f aca="false">AC6+AC7</f>
        <v>27.795</v>
      </c>
      <c r="AE6" s="34" t="n">
        <f aca="false">AD6-AD4</f>
        <v>0.0521999999999991</v>
      </c>
      <c r="AF6" s="34" t="n">
        <f aca="false">AE6+AE10</f>
        <v>0.330712091503266</v>
      </c>
      <c r="AG6" s="34" t="n">
        <f aca="false">AF6+AF14</f>
        <v>0.348304867986322</v>
      </c>
      <c r="AH6" s="35" t="n">
        <f aca="false">AG6/8</f>
        <v>0.0435381084982902</v>
      </c>
      <c r="AI6" s="36" t="s">
        <v>4</v>
      </c>
    </row>
    <row r="7" customFormat="false" ht="15.75" hidden="false" customHeight="true" outlineLevel="0" collapsed="false">
      <c r="A7" s="3" t="s">
        <v>16</v>
      </c>
      <c r="B7" s="4" t="s">
        <v>14</v>
      </c>
      <c r="C7" s="4" t="s">
        <v>14</v>
      </c>
      <c r="D7" s="4" t="s">
        <v>12</v>
      </c>
      <c r="E7" s="4" t="s">
        <v>12</v>
      </c>
      <c r="F7" s="37" t="n">
        <f aca="false">3_Estadistics!D7</f>
        <v>298.409333333333</v>
      </c>
      <c r="G7" s="38" t="n">
        <f aca="false">F7-TINV(0.05,15-1)*3_Estadistics!F7/SQRT(15)</f>
        <v>291.662010804833</v>
      </c>
      <c r="H7" s="38" t="n">
        <f aca="false">F7+TINV(0.05,15-1)*3_Estadistics!F7/SQRT(15)</f>
        <v>305.156655861834</v>
      </c>
      <c r="I7" s="37" t="n">
        <f aca="false">3_Estadistics!L7</f>
        <v>149.929333333333</v>
      </c>
      <c r="J7" s="38" t="n">
        <f aca="false">I7-TINV(0.05,15-1)*3_Estadistics!N7/SQRT(15)</f>
        <v>147.526586449515</v>
      </c>
      <c r="K7" s="38" t="n">
        <f aca="false">I7+TINV(0.05,15-1)*3_Estadistics!N7/SQRT(15)</f>
        <v>152.332080217152</v>
      </c>
      <c r="L7" s="37" t="n">
        <f aca="false">3_Estadistics!T7</f>
        <v>13.3507333333333</v>
      </c>
      <c r="M7" s="38" t="n">
        <f aca="false">L7-TINV(0.05,15-1)*3_Estadistics!V7/SQRT(15)</f>
        <v>13.3252503836276</v>
      </c>
      <c r="N7" s="38" t="n">
        <f aca="false">L7+TINV(0.05,15-1)*3_Estadistics!V7/SQRT(15)</f>
        <v>13.3762162830391</v>
      </c>
      <c r="O7" s="38" t="n">
        <f aca="false">F7</f>
        <v>298.409333333333</v>
      </c>
      <c r="P7" s="38" t="n">
        <f aca="false">O7-O6</f>
        <v>-91.932</v>
      </c>
      <c r="Q7" s="38" t="n">
        <f aca="false">P7-P5</f>
        <v>271.72</v>
      </c>
      <c r="R7" s="38" t="n">
        <f aca="false">Q7+Q11</f>
        <v>344.374860471725</v>
      </c>
      <c r="S7" s="38" t="n">
        <f aca="false">R7+R15</f>
        <v>453.547307634882</v>
      </c>
      <c r="T7" s="39" t="n">
        <f aca="false">S7/8</f>
        <v>56.6934134543602</v>
      </c>
      <c r="U7" s="40" t="s">
        <v>80</v>
      </c>
      <c r="V7" s="38" t="n">
        <f aca="false">I7</f>
        <v>149.929333333333</v>
      </c>
      <c r="W7" s="38" t="n">
        <f aca="false">V7-V6</f>
        <v>40.3513333333333</v>
      </c>
      <c r="X7" s="38" t="n">
        <f aca="false">W7-W5</f>
        <v>-6.16399999999997</v>
      </c>
      <c r="Y7" s="38" t="n">
        <f aca="false">X7+X11</f>
        <v>-11.9945107985223</v>
      </c>
      <c r="Z7" s="38" t="n">
        <f aca="false">Y7+Y15</f>
        <v>-19.4573407937592</v>
      </c>
      <c r="AA7" s="39" t="n">
        <f aca="false">Z7/8</f>
        <v>-2.4321675992199</v>
      </c>
      <c r="AB7" s="40" t="s">
        <v>80</v>
      </c>
      <c r="AC7" s="38" t="n">
        <f aca="false">L7</f>
        <v>13.3507333333333</v>
      </c>
      <c r="AD7" s="38" t="n">
        <f aca="false">AC7-AC6</f>
        <v>-1.09353333333333</v>
      </c>
      <c r="AE7" s="38" t="n">
        <f aca="false">AD7-AD5</f>
        <v>-0.188466666666667</v>
      </c>
      <c r="AF7" s="38" t="n">
        <f aca="false">AE7+AE11</f>
        <v>-0.46857875816994</v>
      </c>
      <c r="AG7" s="38" t="n">
        <f aca="false">AF7+AF15</f>
        <v>-0.476224076924972</v>
      </c>
      <c r="AH7" s="39" t="n">
        <f aca="false">AG7/8</f>
        <v>-0.0595280096156214</v>
      </c>
      <c r="AI7" s="40" t="s">
        <v>80</v>
      </c>
    </row>
    <row r="8" customFormat="false" ht="15.75" hidden="false" customHeight="true" outlineLevel="0" collapsed="false">
      <c r="A8" s="6" t="s">
        <v>17</v>
      </c>
      <c r="B8" s="7" t="s">
        <v>12</v>
      </c>
      <c r="C8" s="7" t="s">
        <v>12</v>
      </c>
      <c r="D8" s="7" t="s">
        <v>14</v>
      </c>
      <c r="E8" s="7" t="s">
        <v>12</v>
      </c>
      <c r="F8" s="33" t="n">
        <f aca="false">3_Estadistics!D8</f>
        <v>576.581111111111</v>
      </c>
      <c r="G8" s="34" t="n">
        <f aca="false">F8-TINV(0.05,36-1)*3_Estadistics!F8/SQRT(36)</f>
        <v>552.403085934372</v>
      </c>
      <c r="H8" s="34" t="n">
        <f aca="false">F8+TINV(0.05,36-1)*3_Estadistics!F8/SQRT(36)</f>
        <v>600.75913628785</v>
      </c>
      <c r="I8" s="33" t="n">
        <f aca="false">3_Estadistics!L8</f>
        <v>11.6752777777778</v>
      </c>
      <c r="J8" s="34" t="n">
        <f aca="false">I8-TINV(0.05,36-1)*3_Estadistics!N8/SQRT(36)</f>
        <v>11.304252770935</v>
      </c>
      <c r="K8" s="34" t="n">
        <f aca="false">I8+TINV(0.05,36-1)*3_Estadistics!N8/SQRT(36)</f>
        <v>12.0463027846205</v>
      </c>
      <c r="L8" s="33" t="n">
        <f aca="false">3_Estadistics!T8</f>
        <v>16.0621388888889</v>
      </c>
      <c r="M8" s="34" t="n">
        <f aca="false">L8-TINV(0.05,36-1)*3_Estadistics!V8/SQRT(36)</f>
        <v>16.0325973219691</v>
      </c>
      <c r="N8" s="34" t="n">
        <f aca="false">L8+TINV(0.05,36-1)*3_Estadistics!V8/SQRT(36)</f>
        <v>16.0916804558087</v>
      </c>
      <c r="O8" s="34" t="n">
        <f aca="false">F8</f>
        <v>576.581111111111</v>
      </c>
      <c r="P8" s="34" t="n">
        <f aca="false">O8+O9</f>
        <v>1060.37806763285</v>
      </c>
      <c r="Q8" s="34" t="n">
        <f aca="false">P8+P10</f>
        <v>1422.83269508383</v>
      </c>
      <c r="R8" s="34" t="n">
        <f aca="false">Q8-Q4</f>
        <v>-279.017971582836</v>
      </c>
      <c r="S8" s="34" t="n">
        <f aca="false">R8+R16</f>
        <v>-341.812849823687</v>
      </c>
      <c r="T8" s="35" t="n">
        <f aca="false">S8/8</f>
        <v>-42.7266062279609</v>
      </c>
      <c r="U8" s="36" t="s">
        <v>5</v>
      </c>
      <c r="V8" s="34" t="n">
        <f aca="false">I8</f>
        <v>11.6752777777778</v>
      </c>
      <c r="W8" s="34" t="n">
        <f aca="false">V8+V9</f>
        <v>22.6883212560387</v>
      </c>
      <c r="X8" s="34" t="n">
        <f aca="false">W8+W10</f>
        <v>52.0610663540779</v>
      </c>
      <c r="Y8" s="34" t="n">
        <f aca="false">X8-X4</f>
        <v>-468.862933645922</v>
      </c>
      <c r="Z8" s="34" t="n">
        <f aca="false">Y8+Y16</f>
        <v>-908.690009665723</v>
      </c>
      <c r="AA8" s="35" t="n">
        <f aca="false">Z8/8</f>
        <v>-113.586251208215</v>
      </c>
      <c r="AB8" s="36" t="s">
        <v>5</v>
      </c>
      <c r="AC8" s="34" t="n">
        <f aca="false">L8</f>
        <v>16.0621388888889</v>
      </c>
      <c r="AD8" s="34" t="n">
        <f aca="false">AC8+AC9</f>
        <v>42.6431388888889</v>
      </c>
      <c r="AE8" s="34" t="n">
        <f aca="false">AD8+AD10</f>
        <v>85.564789869281</v>
      </c>
      <c r="AF8" s="34" t="n">
        <f aca="false">AE8-AE4</f>
        <v>30.026989869281</v>
      </c>
      <c r="AG8" s="34" t="n">
        <f aca="false">AF8+AF16</f>
        <v>61.547884498813</v>
      </c>
      <c r="AH8" s="35" t="n">
        <f aca="false">AG8/8</f>
        <v>7.69348556235163</v>
      </c>
      <c r="AI8" s="36" t="s">
        <v>5</v>
      </c>
    </row>
    <row r="9" customFormat="false" ht="15.75" hidden="false" customHeight="true" outlineLevel="0" collapsed="false">
      <c r="A9" s="3" t="s">
        <v>18</v>
      </c>
      <c r="B9" s="4" t="s">
        <v>14</v>
      </c>
      <c r="C9" s="4" t="s">
        <v>12</v>
      </c>
      <c r="D9" s="4" t="s">
        <v>14</v>
      </c>
      <c r="E9" s="4" t="s">
        <v>12</v>
      </c>
      <c r="F9" s="37" t="n">
        <f aca="false">3_Estadistics!D9</f>
        <v>483.796956521739</v>
      </c>
      <c r="G9" s="38" t="n">
        <f aca="false">F9-TINV(0.05,23-1)*3_Estadistics!F9/SQRT(23)</f>
        <v>462.691585298121</v>
      </c>
      <c r="H9" s="38" t="n">
        <f aca="false">F9+TINV(0.05,23-1)*3_Estadistics!F9/SQRT(23)</f>
        <v>504.902327745357</v>
      </c>
      <c r="I9" s="37" t="n">
        <f aca="false">3_Estadistics!L9</f>
        <v>11.0130434782609</v>
      </c>
      <c r="J9" s="38" t="n">
        <f aca="false">I9-TINV(0.05,23-1)*3_Estadistics!N9/SQRT(23)</f>
        <v>10.5630559654636</v>
      </c>
      <c r="K9" s="38" t="n">
        <f aca="false">I9+TINV(0.05,23-1)*3_Estadistics!N9/SQRT(23)</f>
        <v>11.4630309910581</v>
      </c>
      <c r="L9" s="37" t="n">
        <f aca="false">3_Estadistics!T9</f>
        <v>26.581</v>
      </c>
      <c r="M9" s="38" t="n">
        <f aca="false">L9-TINV(0.05,23-1)*3_Estadistics!V9/SQRT(23)</f>
        <v>26.5336692520933</v>
      </c>
      <c r="N9" s="38" t="n">
        <f aca="false">L9+TINV(0.05,23-1)*3_Estadistics!V9/SQRT(23)</f>
        <v>26.6283307479068</v>
      </c>
      <c r="O9" s="38" t="n">
        <f aca="false">F9</f>
        <v>483.796956521739</v>
      </c>
      <c r="P9" s="38" t="n">
        <f aca="false">O9-O8</f>
        <v>-92.784154589372</v>
      </c>
      <c r="Q9" s="38" t="n">
        <f aca="false">P9+P11</f>
        <v>-112.913448707019</v>
      </c>
      <c r="R9" s="38" t="n">
        <f aca="false">Q9-Q5</f>
        <v>342.670551292981</v>
      </c>
      <c r="S9" s="38" t="n">
        <f aca="false">R9+R17</f>
        <v>528.598206385463</v>
      </c>
      <c r="T9" s="39" t="n">
        <f aca="false">S9/8</f>
        <v>66.0747757981829</v>
      </c>
      <c r="U9" s="40" t="s">
        <v>81</v>
      </c>
      <c r="V9" s="38" t="n">
        <f aca="false">I9</f>
        <v>11.0130434782609</v>
      </c>
      <c r="W9" s="38" t="n">
        <f aca="false">V9-V8</f>
        <v>-0.662234299516907</v>
      </c>
      <c r="X9" s="38" t="n">
        <f aca="false">W9+W11</f>
        <v>-7.15497939755612</v>
      </c>
      <c r="Y9" s="38" t="n">
        <f aca="false">X9-X5</f>
        <v>-94.0216460642228</v>
      </c>
      <c r="Z9" s="38" t="n">
        <f aca="false">Y9+Y17</f>
        <v>-157.025636369738</v>
      </c>
      <c r="AA9" s="39" t="n">
        <f aca="false">Z9/8</f>
        <v>-19.6282045462172</v>
      </c>
      <c r="AB9" s="40" t="s">
        <v>81</v>
      </c>
      <c r="AC9" s="38" t="n">
        <f aca="false">L9</f>
        <v>26.581</v>
      </c>
      <c r="AD9" s="38" t="n">
        <f aca="false">AC9-AC8</f>
        <v>10.5188611111111</v>
      </c>
      <c r="AE9" s="38" t="n">
        <f aca="false">AD9+AD11</f>
        <v>20.757610130719</v>
      </c>
      <c r="AF9" s="38" t="n">
        <f aca="false">AE9-AE5</f>
        <v>22.756210130719</v>
      </c>
      <c r="AG9" s="38" t="n">
        <f aca="false">AF9+AF17</f>
        <v>43.5838285697747</v>
      </c>
      <c r="AH9" s="39" t="n">
        <f aca="false">AG9/8</f>
        <v>5.44797857122184</v>
      </c>
      <c r="AI9" s="40" t="s">
        <v>81</v>
      </c>
    </row>
    <row r="10" customFormat="false" ht="15.75" hidden="false" customHeight="true" outlineLevel="0" collapsed="false">
      <c r="A10" s="6" t="s">
        <v>19</v>
      </c>
      <c r="B10" s="7" t="s">
        <v>12</v>
      </c>
      <c r="C10" s="7" t="s">
        <v>14</v>
      </c>
      <c r="D10" s="7" t="s">
        <v>14</v>
      </c>
      <c r="E10" s="7" t="s">
        <v>12</v>
      </c>
      <c r="F10" s="33" t="n">
        <f aca="false">3_Estadistics!D10</f>
        <v>191.291960784314</v>
      </c>
      <c r="G10" s="34" t="n">
        <f aca="false">F10-TINV(0.05,51-1)*3_Estadistics!F10/SQRT(51)</f>
        <v>188.583395408805</v>
      </c>
      <c r="H10" s="34" t="n">
        <f aca="false">F10+TINV(0.05,51-1)*3_Estadistics!F10/SQRT(51)</f>
        <v>194.000526159822</v>
      </c>
      <c r="I10" s="33" t="n">
        <f aca="false">3_Estadistics!L10</f>
        <v>17.9327450980392</v>
      </c>
      <c r="J10" s="34" t="n">
        <f aca="false">I10-TINV(0.05,51-1)*3_Estadistics!N10/SQRT(51)</f>
        <v>17.1707848704503</v>
      </c>
      <c r="K10" s="34" t="n">
        <f aca="false">I10+TINV(0.05,51-1)*3_Estadistics!N10/SQRT(51)</f>
        <v>18.6947053256281</v>
      </c>
      <c r="L10" s="33" t="n">
        <f aca="false">3_Estadistics!T10</f>
        <v>16.3414509803922</v>
      </c>
      <c r="M10" s="34" t="n">
        <f aca="false">L10-TINV(0.05,51-1)*3_Estadistics!V10/SQRT(51)</f>
        <v>16.3124282210272</v>
      </c>
      <c r="N10" s="34" t="n">
        <f aca="false">L10+TINV(0.05,51-1)*3_Estadistics!V10/SQRT(51)</f>
        <v>16.3704737397571</v>
      </c>
      <c r="O10" s="34" t="n">
        <f aca="false">F10</f>
        <v>191.291960784314</v>
      </c>
      <c r="P10" s="34" t="n">
        <f aca="false">O10+O11</f>
        <v>362.45462745098</v>
      </c>
      <c r="Q10" s="34" t="n">
        <f aca="false">P10-P8</f>
        <v>-697.92344018187</v>
      </c>
      <c r="R10" s="34" t="n">
        <f aca="false">Q10-Q6</f>
        <v>-373.574106848537</v>
      </c>
      <c r="S10" s="34" t="n">
        <f aca="false">R10+R18</f>
        <v>-760.421663901803</v>
      </c>
      <c r="T10" s="35" t="n">
        <f aca="false">S10/8</f>
        <v>-95.0527079877254</v>
      </c>
      <c r="U10" s="36" t="s">
        <v>82</v>
      </c>
      <c r="V10" s="34" t="n">
        <f aca="false">I10</f>
        <v>17.9327450980392</v>
      </c>
      <c r="W10" s="34" t="n">
        <f aca="false">V10+V11</f>
        <v>29.3727450980392</v>
      </c>
      <c r="X10" s="34" t="n">
        <f aca="false">W10-W8</f>
        <v>6.68442384200056</v>
      </c>
      <c r="Y10" s="34" t="n">
        <f aca="false">X10-X6</f>
        <v>8.59375717533384</v>
      </c>
      <c r="Z10" s="34" t="n">
        <f aca="false">Y10+Y18</f>
        <v>-2.30723151074788</v>
      </c>
      <c r="AA10" s="35" t="n">
        <f aca="false">Z10/8</f>
        <v>-0.288403938843485</v>
      </c>
      <c r="AB10" s="36" t="s">
        <v>82</v>
      </c>
      <c r="AC10" s="34" t="n">
        <f aca="false">L10</f>
        <v>16.3414509803922</v>
      </c>
      <c r="AD10" s="34" t="n">
        <f aca="false">AC10+AC11</f>
        <v>42.9216509803922</v>
      </c>
      <c r="AE10" s="34" t="n">
        <f aca="false">AD10-AD8</f>
        <v>0.278512091503266</v>
      </c>
      <c r="AF10" s="34" t="n">
        <f aca="false">AE10-AE6</f>
        <v>0.226312091503267</v>
      </c>
      <c r="AG10" s="34" t="n">
        <f aca="false">AF10+AF18</f>
        <v>0.209715010990898</v>
      </c>
      <c r="AH10" s="35" t="n">
        <f aca="false">AG10/8</f>
        <v>0.0262143763738623</v>
      </c>
      <c r="AI10" s="36" t="s">
        <v>82</v>
      </c>
    </row>
    <row r="11" customFormat="false" ht="15.75" hidden="false" customHeight="true" outlineLevel="0" collapsed="false">
      <c r="A11" s="3" t="s">
        <v>20</v>
      </c>
      <c r="B11" s="4" t="s">
        <v>14</v>
      </c>
      <c r="C11" s="4" t="s">
        <v>14</v>
      </c>
      <c r="D11" s="4" t="s">
        <v>14</v>
      </c>
      <c r="E11" s="4" t="s">
        <v>12</v>
      </c>
      <c r="F11" s="37" t="n">
        <f aca="false">3_Estadistics!D11</f>
        <v>171.162666666667</v>
      </c>
      <c r="G11" s="38" t="n">
        <f aca="false">F11-TINV(0.05,15-1)*3_Estadistics!F11/SQRT(15)</f>
        <v>169.216724767544</v>
      </c>
      <c r="H11" s="38" t="n">
        <f aca="false">F11+TINV(0.05,15-1)*3_Estadistics!F11/SQRT(15)</f>
        <v>173.108608565789</v>
      </c>
      <c r="I11" s="37" t="n">
        <f aca="false">3_Estadistics!L11</f>
        <v>11.44</v>
      </c>
      <c r="J11" s="38" t="n">
        <f aca="false">I11-TINV(0.05,15-1)*3_Estadistics!N11/SQRT(15)</f>
        <v>10.9251277993448</v>
      </c>
      <c r="K11" s="38" t="n">
        <f aca="false">I11+TINV(0.05,15-1)*3_Estadistics!N11/SQRT(15)</f>
        <v>11.9548722006552</v>
      </c>
      <c r="L11" s="37" t="n">
        <f aca="false">3_Estadistics!T11</f>
        <v>26.5802</v>
      </c>
      <c r="M11" s="38" t="n">
        <f aca="false">L11-TINV(0.05,15-1)*3_Estadistics!V11/SQRT(15)</f>
        <v>26.4943750394957</v>
      </c>
      <c r="N11" s="38" t="n">
        <f aca="false">L11+TINV(0.05,15-1)*3_Estadistics!V11/SQRT(15)</f>
        <v>26.6660249605043</v>
      </c>
      <c r="O11" s="38" t="n">
        <f aca="false">F11</f>
        <v>171.162666666667</v>
      </c>
      <c r="P11" s="38" t="n">
        <f aca="false">O11-O10</f>
        <v>-20.1292941176471</v>
      </c>
      <c r="Q11" s="38" t="n">
        <f aca="false">P11-P9</f>
        <v>72.654860471725</v>
      </c>
      <c r="R11" s="38" t="n">
        <f aca="false">Q11-Q7</f>
        <v>-199.065139528275</v>
      </c>
      <c r="S11" s="38" t="n">
        <f aca="false">R11+R19</f>
        <v>-240.116829914875</v>
      </c>
      <c r="T11" s="39" t="n">
        <f aca="false">S11/8</f>
        <v>-30.0146037393594</v>
      </c>
      <c r="U11" s="40" t="s">
        <v>83</v>
      </c>
      <c r="V11" s="38" t="n">
        <f aca="false">I11</f>
        <v>11.44</v>
      </c>
      <c r="W11" s="38" t="n">
        <f aca="false">V11-V10</f>
        <v>-6.49274509803921</v>
      </c>
      <c r="X11" s="38" t="n">
        <f aca="false">W11-W9</f>
        <v>-5.83051079852231</v>
      </c>
      <c r="Y11" s="38" t="n">
        <f aca="false">X11-X7</f>
        <v>0.333489201477667</v>
      </c>
      <c r="Z11" s="38" t="n">
        <f aca="false">Y11+Y19</f>
        <v>8.38701480111022</v>
      </c>
      <c r="AA11" s="39" t="n">
        <f aca="false">Z11/8</f>
        <v>1.04837685013878</v>
      </c>
      <c r="AB11" s="40" t="s">
        <v>83</v>
      </c>
      <c r="AC11" s="38" t="n">
        <f aca="false">L11</f>
        <v>26.5802</v>
      </c>
      <c r="AD11" s="38" t="n">
        <f aca="false">AC11-AC10</f>
        <v>10.2387490196078</v>
      </c>
      <c r="AE11" s="38" t="n">
        <f aca="false">AD11-AD9</f>
        <v>-0.280112091503273</v>
      </c>
      <c r="AF11" s="38" t="n">
        <f aca="false">AE11-AE7</f>
        <v>-0.0916454248366065</v>
      </c>
      <c r="AG11" s="38" t="n">
        <f aca="false">AF11+AF19</f>
        <v>-0.0658996482061163</v>
      </c>
      <c r="AH11" s="39" t="n">
        <f aca="false">AG11/8</f>
        <v>-0.00823745602576453</v>
      </c>
      <c r="AI11" s="40" t="s">
        <v>83</v>
      </c>
    </row>
    <row r="12" customFormat="false" ht="15.75" hidden="false" customHeight="true" outlineLevel="0" collapsed="false">
      <c r="A12" s="6" t="s">
        <v>21</v>
      </c>
      <c r="B12" s="7" t="s">
        <v>12</v>
      </c>
      <c r="C12" s="7" t="s">
        <v>12</v>
      </c>
      <c r="D12" s="7" t="s">
        <v>12</v>
      </c>
      <c r="E12" s="7" t="s">
        <v>14</v>
      </c>
      <c r="F12" s="33" t="n">
        <f aca="false">3_Estadistics!D12</f>
        <v>380.275714285714</v>
      </c>
      <c r="G12" s="34" t="n">
        <f aca="false">F12-TINV(0.05,35-1)*3_Estadistics!F12/SQRT(35)</f>
        <v>361.656689311475</v>
      </c>
      <c r="H12" s="34" t="n">
        <f aca="false">F12+TINV(0.05,35-1)*3_Estadistics!F12/SQRT(35)</f>
        <v>398.894739259954</v>
      </c>
      <c r="I12" s="33" t="n">
        <f aca="false">3_Estadistics!L12</f>
        <v>97.2685714285714</v>
      </c>
      <c r="J12" s="34" t="n">
        <f aca="false">I12-TINV(0.05,35-1)*3_Estadistics!N12/SQRT(35)</f>
        <v>92.0802786495635</v>
      </c>
      <c r="K12" s="34" t="n">
        <f aca="false">I12+TINV(0.05,35-1)*3_Estadistics!N12/SQRT(35)</f>
        <v>102.456864207579</v>
      </c>
      <c r="L12" s="33" t="n">
        <f aca="false">3_Estadistics!T12</f>
        <v>12.5765714285714</v>
      </c>
      <c r="M12" s="34" t="n">
        <f aca="false">L12-TINV(0.05,35-1)*3_Estadistics!V12/SQRT(35)</f>
        <v>12.5619003056011</v>
      </c>
      <c r="N12" s="34" t="n">
        <f aca="false">L12+TINV(0.05,35-1)*3_Estadistics!V12/SQRT(35)</f>
        <v>12.5912425515417</v>
      </c>
      <c r="O12" s="34" t="n">
        <f aca="false">F12</f>
        <v>380.275714285714</v>
      </c>
      <c r="P12" s="34" t="n">
        <f aca="false">O12+O13</f>
        <v>612.668477443609</v>
      </c>
      <c r="Q12" s="34" t="n">
        <f aca="false">P12+P14</f>
        <v>1148.81759509067</v>
      </c>
      <c r="R12" s="34" t="n">
        <f aca="false">Q12+Q16</f>
        <v>2234.84031194048</v>
      </c>
      <c r="S12" s="34" t="n">
        <f aca="false">R12-R4</f>
        <v>-889.843049810012</v>
      </c>
      <c r="T12" s="35" t="n">
        <f aca="false">S12/8</f>
        <v>-111.230381226252</v>
      </c>
      <c r="U12" s="36" t="s">
        <v>6</v>
      </c>
      <c r="V12" s="34" t="n">
        <f aca="false">I12</f>
        <v>97.2685714285714</v>
      </c>
      <c r="W12" s="34" t="n">
        <f aca="false">V12+V13</f>
        <v>229.793703007519</v>
      </c>
      <c r="X12" s="34" t="n">
        <f aca="false">W12+W14</f>
        <v>470.99208536046</v>
      </c>
      <c r="Y12" s="34" t="n">
        <f aca="false">X12+X16</f>
        <v>502.157094701119</v>
      </c>
      <c r="Z12" s="34" t="n">
        <f aca="false">Y12-Y4</f>
        <v>-70.8279716529585</v>
      </c>
      <c r="AA12" s="35" t="n">
        <f aca="false">Z12/8</f>
        <v>-8.85349645661982</v>
      </c>
      <c r="AB12" s="36" t="s">
        <v>6</v>
      </c>
      <c r="AC12" s="34" t="n">
        <f aca="false">L12</f>
        <v>12.5765714285714</v>
      </c>
      <c r="AD12" s="34" t="n">
        <f aca="false">AC12+AC13</f>
        <v>24.9202687969925</v>
      </c>
      <c r="AE12" s="34" t="n">
        <f aca="false">AD12+AD14</f>
        <v>49.8576325224827</v>
      </c>
      <c r="AF12" s="34" t="n">
        <f aca="false">AE12+AE16</f>
        <v>131.236159674497</v>
      </c>
      <c r="AG12" s="34" t="n">
        <f aca="false">AF12-AF4</f>
        <v>-9.8664301947837</v>
      </c>
      <c r="AH12" s="35" t="n">
        <f aca="false">AG12/8</f>
        <v>-1.23330377434796</v>
      </c>
      <c r="AI12" s="36" t="s">
        <v>6</v>
      </c>
    </row>
    <row r="13" customFormat="false" ht="15.75" hidden="false" customHeight="true" outlineLevel="0" collapsed="false">
      <c r="A13" s="3" t="s">
        <v>22</v>
      </c>
      <c r="B13" s="4" t="s">
        <v>14</v>
      </c>
      <c r="C13" s="4" t="s">
        <v>12</v>
      </c>
      <c r="D13" s="4" t="s">
        <v>12</v>
      </c>
      <c r="E13" s="4" t="s">
        <v>14</v>
      </c>
      <c r="F13" s="37" t="n">
        <f aca="false">3_Estadistics!D13</f>
        <v>232.392763157895</v>
      </c>
      <c r="G13" s="38" t="n">
        <f aca="false">F13-TINV(0.05,76-1)*3_Estadistics!F13/SQRT(76)</f>
        <v>222.196154275975</v>
      </c>
      <c r="H13" s="38" t="n">
        <f aca="false">F13+TINV(0.05,76-1)*3_Estadistics!F13/SQRT(76)</f>
        <v>242.589372039814</v>
      </c>
      <c r="I13" s="37" t="n">
        <f aca="false">3_Estadistics!L13</f>
        <v>132.525131578947</v>
      </c>
      <c r="J13" s="38" t="n">
        <f aca="false">I13-TINV(0.05,76-1)*3_Estadistics!N13/SQRT(76)</f>
        <v>128.335769233767</v>
      </c>
      <c r="K13" s="38" t="n">
        <f aca="false">I13+TINV(0.05,76-1)*3_Estadistics!N13/SQRT(76)</f>
        <v>136.714493924128</v>
      </c>
      <c r="L13" s="37" t="n">
        <f aca="false">3_Estadistics!T13</f>
        <v>12.3436973684211</v>
      </c>
      <c r="M13" s="38" t="n">
        <f aca="false">L13-TINV(0.05,76-1)*3_Estadistics!V13/SQRT(76)</f>
        <v>12.3358660013703</v>
      </c>
      <c r="N13" s="38" t="n">
        <f aca="false">L13+TINV(0.05,76-1)*3_Estadistics!V13/SQRT(76)</f>
        <v>12.3515287354718</v>
      </c>
      <c r="O13" s="38" t="n">
        <f aca="false">F13</f>
        <v>232.392763157895</v>
      </c>
      <c r="P13" s="38" t="n">
        <f aca="false">O13-O12</f>
        <v>-147.88295112782</v>
      </c>
      <c r="Q13" s="38" t="n">
        <f aca="false">P13+P15</f>
        <v>-220.653833480761</v>
      </c>
      <c r="R13" s="38" t="n">
        <f aca="false">Q13+Q17</f>
        <v>-255.380011869039</v>
      </c>
      <c r="S13" s="38" t="n">
        <f aca="false">R13-R5</f>
        <v>313.11743683798</v>
      </c>
      <c r="T13" s="39" t="n">
        <f aca="false">S13/8</f>
        <v>39.1396796047475</v>
      </c>
      <c r="U13" s="40" t="s">
        <v>84</v>
      </c>
      <c r="V13" s="38" t="n">
        <f aca="false">I13</f>
        <v>132.525131578947</v>
      </c>
      <c r="W13" s="38" t="n">
        <f aca="false">V13-V12</f>
        <v>35.2565601503759</v>
      </c>
      <c r="X13" s="38" t="n">
        <f aca="false">W13+W15</f>
        <v>62.7549425033171</v>
      </c>
      <c r="Y13" s="38" t="n">
        <f aca="false">X13+X17</f>
        <v>62.5058947011193</v>
      </c>
      <c r="Z13" s="38" t="n">
        <f aca="false">Y13-Y5</f>
        <v>-17.2057925679912</v>
      </c>
      <c r="AA13" s="39" t="n">
        <f aca="false">Z13/8</f>
        <v>-2.1507240709989</v>
      </c>
      <c r="AB13" s="40" t="s">
        <v>84</v>
      </c>
      <c r="AC13" s="38" t="n">
        <f aca="false">L13</f>
        <v>12.3436973684211</v>
      </c>
      <c r="AD13" s="38" t="n">
        <f aca="false">AC13-AC12</f>
        <v>-0.232874060150376</v>
      </c>
      <c r="AE13" s="38" t="n">
        <f aca="false">AD13+AD15</f>
        <v>-0.482443667993513</v>
      </c>
      <c r="AF13" s="38" t="n">
        <f aca="false">AE13+AE17</f>
        <v>19.8627311030688</v>
      </c>
      <c r="AG13" s="38" t="n">
        <f aca="false">AF13-AF5</f>
        <v>1.1037209723498</v>
      </c>
      <c r="AH13" s="39" t="n">
        <f aca="false">AG13/8</f>
        <v>0.137965121543725</v>
      </c>
      <c r="AI13" s="40" t="s">
        <v>84</v>
      </c>
    </row>
    <row r="14" customFormat="false" ht="15.75" hidden="false" customHeight="true" outlineLevel="0" collapsed="false">
      <c r="A14" s="6" t="s">
        <v>23</v>
      </c>
      <c r="B14" s="7" t="s">
        <v>12</v>
      </c>
      <c r="C14" s="7" t="s">
        <v>14</v>
      </c>
      <c r="D14" s="7" t="s">
        <v>12</v>
      </c>
      <c r="E14" s="7" t="s">
        <v>14</v>
      </c>
      <c r="F14" s="33" t="n">
        <f aca="false">3_Estadistics!D14</f>
        <v>304.46</v>
      </c>
      <c r="G14" s="34" t="n">
        <f aca="false">F14-TINV(0.05,15-1)*3_Estadistics!F14/SQRT(15)</f>
        <v>291.819776315168</v>
      </c>
      <c r="H14" s="34" t="n">
        <f aca="false">F14+TINV(0.05,15-1)*3_Estadistics!F14/SQRT(15)</f>
        <v>317.100223684833</v>
      </c>
      <c r="I14" s="33" t="n">
        <f aca="false">3_Estadistics!L14</f>
        <v>106.85</v>
      </c>
      <c r="J14" s="34" t="n">
        <f aca="false">I14-TINV(0.05,15-1)*3_Estadistics!N14/SQRT(15)</f>
        <v>102.445285333868</v>
      </c>
      <c r="K14" s="34" t="n">
        <f aca="false">I14+TINV(0.05,15-1)*3_Estadistics!N14/SQRT(15)</f>
        <v>111.254714666132</v>
      </c>
      <c r="L14" s="33" t="n">
        <f aca="false">3_Estadistics!T14</f>
        <v>12.5934666666667</v>
      </c>
      <c r="M14" s="34" t="n">
        <f aca="false">L14-TINV(0.05,15-1)*3_Estadistics!V14/SQRT(15)</f>
        <v>12.5630793410213</v>
      </c>
      <c r="N14" s="34" t="n">
        <f aca="false">L14+TINV(0.05,15-1)*3_Estadistics!V14/SQRT(15)</f>
        <v>12.623853992312</v>
      </c>
      <c r="O14" s="34" t="n">
        <f aca="false">F14</f>
        <v>304.46</v>
      </c>
      <c r="P14" s="34" t="n">
        <f aca="false">O14+O15</f>
        <v>536.149117647059</v>
      </c>
      <c r="Q14" s="34" t="n">
        <f aca="false">P14-P12</f>
        <v>-76.5193597965501</v>
      </c>
      <c r="R14" s="34" t="n">
        <f aca="false">Q14+Q18</f>
        <v>-539.886276646367</v>
      </c>
      <c r="S14" s="34" t="n">
        <f aca="false">R14-R6</f>
        <v>482.386496868836</v>
      </c>
      <c r="T14" s="35" t="n">
        <f aca="false">S14/8</f>
        <v>60.2983121086045</v>
      </c>
      <c r="U14" s="36" t="s">
        <v>85</v>
      </c>
      <c r="V14" s="34" t="n">
        <f aca="false">I14</f>
        <v>106.85</v>
      </c>
      <c r="W14" s="34" t="n">
        <f aca="false">V14+V15</f>
        <v>241.198382352941</v>
      </c>
      <c r="X14" s="34" t="n">
        <f aca="false">W14-W12</f>
        <v>11.4046793454224</v>
      </c>
      <c r="Y14" s="34" t="n">
        <f aca="false">X14+X18</f>
        <v>11.908370004763</v>
      </c>
      <c r="Z14" s="34" t="n">
        <f aca="false">Y14-Y6</f>
        <v>7.13327949609576</v>
      </c>
      <c r="AA14" s="35" t="n">
        <f aca="false">Z14/8</f>
        <v>0.89165993701197</v>
      </c>
      <c r="AB14" s="36" t="s">
        <v>85</v>
      </c>
      <c r="AC14" s="34" t="n">
        <f aca="false">L14</f>
        <v>12.5934666666667</v>
      </c>
      <c r="AD14" s="34" t="n">
        <f aca="false">AC14+AC15</f>
        <v>24.9373637254902</v>
      </c>
      <c r="AE14" s="34" t="n">
        <f aca="false">AD14-AD12</f>
        <v>0.0170949284977127</v>
      </c>
      <c r="AF14" s="34" t="n">
        <f aca="false">AE14+AE18</f>
        <v>0.0175927764830561</v>
      </c>
      <c r="AG14" s="34" t="n">
        <f aca="false">AF14-AF6</f>
        <v>-0.313119315020209</v>
      </c>
      <c r="AH14" s="35" t="n">
        <f aca="false">AG14/8</f>
        <v>-0.0391399143775262</v>
      </c>
      <c r="AI14" s="36" t="s">
        <v>85</v>
      </c>
    </row>
    <row r="15" customFormat="false" ht="15.75" hidden="false" customHeight="true" outlineLevel="0" collapsed="false">
      <c r="A15" s="3" t="s">
        <v>24</v>
      </c>
      <c r="B15" s="4" t="s">
        <v>14</v>
      </c>
      <c r="C15" s="4" t="s">
        <v>14</v>
      </c>
      <c r="D15" s="4" t="s">
        <v>12</v>
      </c>
      <c r="E15" s="4" t="s">
        <v>14</v>
      </c>
      <c r="F15" s="37" t="n">
        <f aca="false">3_Estadistics!D15</f>
        <v>231.689117647059</v>
      </c>
      <c r="G15" s="38" t="n">
        <f aca="false">F15-TINV(0.05,68-1)*3_Estadistics!F15/SQRT(68)</f>
        <v>221.261369175636</v>
      </c>
      <c r="H15" s="38" t="n">
        <f aca="false">F15+TINV(0.05,68-1)*3_Estadistics!F15/SQRT(68)</f>
        <v>242.116866118482</v>
      </c>
      <c r="I15" s="37" t="n">
        <f aca="false">3_Estadistics!L15</f>
        <v>134.348382352941</v>
      </c>
      <c r="J15" s="38" t="n">
        <f aca="false">I15-TINV(0.05,68-1)*3_Estadistics!N15/SQRT(68)</f>
        <v>130.201204775443</v>
      </c>
      <c r="K15" s="38" t="n">
        <f aca="false">I15+TINV(0.05,68-1)*3_Estadistics!N15/SQRT(68)</f>
        <v>138.495559930439</v>
      </c>
      <c r="L15" s="37" t="n">
        <f aca="false">3_Estadistics!T15</f>
        <v>12.3438970588235</v>
      </c>
      <c r="M15" s="38" t="n">
        <f aca="false">L15-TINV(0.05,68-1)*3_Estadistics!V15/SQRT(68)</f>
        <v>12.3358308501244</v>
      </c>
      <c r="N15" s="38" t="n">
        <f aca="false">L15+TINV(0.05,68-1)*3_Estadistics!V15/SQRT(68)</f>
        <v>12.3519632675227</v>
      </c>
      <c r="O15" s="38" t="n">
        <f aca="false">F15</f>
        <v>231.689117647059</v>
      </c>
      <c r="P15" s="38" t="n">
        <f aca="false">O15-O14</f>
        <v>-72.7708823529412</v>
      </c>
      <c r="Q15" s="38" t="n">
        <f aca="false">P15-P13</f>
        <v>75.1120687748784</v>
      </c>
      <c r="R15" s="38" t="n">
        <f aca="false">Q15+Q19</f>
        <v>109.172447163157</v>
      </c>
      <c r="S15" s="38" t="n">
        <f aca="false">R15-R7</f>
        <v>-235.202413308568</v>
      </c>
      <c r="T15" s="39" t="n">
        <f aca="false">S15/8</f>
        <v>-29.400301663571</v>
      </c>
      <c r="U15" s="40" t="s">
        <v>86</v>
      </c>
      <c r="V15" s="38" t="n">
        <f aca="false">I15</f>
        <v>134.348382352941</v>
      </c>
      <c r="W15" s="38" t="n">
        <f aca="false">V15-V14</f>
        <v>27.4983823529412</v>
      </c>
      <c r="X15" s="38" t="n">
        <f aca="false">W15-W13</f>
        <v>-7.75817779743475</v>
      </c>
      <c r="Y15" s="38" t="n">
        <f aca="false">X15+X19</f>
        <v>-7.46282999523695</v>
      </c>
      <c r="Z15" s="38" t="n">
        <f aca="false">Y15-Y7</f>
        <v>4.53168080328533</v>
      </c>
      <c r="AA15" s="39" t="n">
        <f aca="false">Z15/8</f>
        <v>0.566460100410666</v>
      </c>
      <c r="AB15" s="40" t="s">
        <v>86</v>
      </c>
      <c r="AC15" s="38" t="n">
        <f aca="false">L15</f>
        <v>12.3438970588235</v>
      </c>
      <c r="AD15" s="38" t="n">
        <f aca="false">AC15-AC14</f>
        <v>-0.249569607843137</v>
      </c>
      <c r="AE15" s="38" t="n">
        <f aca="false">AD15-AD13</f>
        <v>-0.0166955476927608</v>
      </c>
      <c r="AF15" s="38" t="n">
        <f aca="false">AE15+AE19</f>
        <v>-0.00764531875503138</v>
      </c>
      <c r="AG15" s="38" t="n">
        <f aca="false">AF15-AF7</f>
        <v>0.460933439414909</v>
      </c>
      <c r="AH15" s="39" t="n">
        <f aca="false">AG15/8</f>
        <v>0.0576166799268636</v>
      </c>
      <c r="AI15" s="40" t="s">
        <v>86</v>
      </c>
    </row>
    <row r="16" customFormat="false" ht="15.75" hidden="false" customHeight="true" outlineLevel="0" collapsed="false">
      <c r="A16" s="6" t="s">
        <v>25</v>
      </c>
      <c r="B16" s="7" t="s">
        <v>12</v>
      </c>
      <c r="C16" s="7" t="s">
        <v>12</v>
      </c>
      <c r="D16" s="7" t="s">
        <v>14</v>
      </c>
      <c r="E16" s="7" t="s">
        <v>14</v>
      </c>
      <c r="F16" s="33" t="n">
        <f aca="false">3_Estadistics!D16</f>
        <v>404.544047619048</v>
      </c>
      <c r="G16" s="34" t="n">
        <f aca="false">F16-TINV(0.05,42-1)*3_Estadistics!F16/SQRT(42)</f>
        <v>389.489845317399</v>
      </c>
      <c r="H16" s="34" t="n">
        <f aca="false">F16+TINV(0.05,42-1)*3_Estadistics!F16/SQRT(42)</f>
        <v>419.598249920696</v>
      </c>
      <c r="I16" s="33" t="n">
        <f aca="false">3_Estadistics!L16</f>
        <v>7.80142857142857</v>
      </c>
      <c r="J16" s="34" t="n">
        <f aca="false">I16-TINV(0.05,42-1)*3_Estadistics!N16/SQRT(42)</f>
        <v>7.53202198195275</v>
      </c>
      <c r="K16" s="34" t="n">
        <f aca="false">I16+TINV(0.05,42-1)*3_Estadistics!N16/SQRT(42)</f>
        <v>8.07083516090439</v>
      </c>
      <c r="L16" s="33" t="n">
        <f aca="false">3_Estadistics!T16</f>
        <v>15.2604761904762</v>
      </c>
      <c r="M16" s="34" t="n">
        <f aca="false">L16-TINV(0.05,42-1)*3_Estadistics!V16/SQRT(42)</f>
        <v>15.2543305314795</v>
      </c>
      <c r="N16" s="34" t="n">
        <f aca="false">L16+TINV(0.05,42-1)*3_Estadistics!V16/SQRT(42)</f>
        <v>15.2666218494729</v>
      </c>
      <c r="O16" s="34" t="n">
        <f aca="false">F16</f>
        <v>404.544047619048</v>
      </c>
      <c r="P16" s="34" t="n">
        <f aca="false">O16+O17</f>
        <v>774.694816849817</v>
      </c>
      <c r="Q16" s="34" t="n">
        <f aca="false">P16+P18</f>
        <v>1086.02271684982</v>
      </c>
      <c r="R16" s="34" t="n">
        <f aca="false">Q16-Q12</f>
        <v>-62.794878240851</v>
      </c>
      <c r="S16" s="34" t="n">
        <f aca="false">R16-R8</f>
        <v>216.223093341985</v>
      </c>
      <c r="T16" s="35" t="n">
        <f aca="false">S16/8</f>
        <v>27.0278866677482</v>
      </c>
      <c r="U16" s="36" t="s">
        <v>87</v>
      </c>
      <c r="V16" s="34" t="n">
        <f aca="false">I16</f>
        <v>7.80142857142857</v>
      </c>
      <c r="W16" s="34" t="n">
        <f aca="false">V16+V17</f>
        <v>15.3306593406593</v>
      </c>
      <c r="X16" s="34" t="n">
        <f aca="false">W16+W18</f>
        <v>31.1650093406593</v>
      </c>
      <c r="Y16" s="34" t="n">
        <f aca="false">X16-X12</f>
        <v>-439.827076019801</v>
      </c>
      <c r="Z16" s="34" t="n">
        <f aca="false">Y16-Y8</f>
        <v>29.0358576261215</v>
      </c>
      <c r="AA16" s="35" t="n">
        <f aca="false">Z16/8</f>
        <v>3.62948220326519</v>
      </c>
      <c r="AB16" s="36" t="s">
        <v>87</v>
      </c>
      <c r="AC16" s="34" t="n">
        <f aca="false">L16</f>
        <v>15.2604761904762</v>
      </c>
      <c r="AD16" s="34" t="n">
        <f aca="false">AC16+AC17</f>
        <v>40.6890146520147</v>
      </c>
      <c r="AE16" s="34" t="n">
        <f aca="false">AD16+AD18</f>
        <v>81.3785271520147</v>
      </c>
      <c r="AF16" s="34" t="n">
        <f aca="false">AE16-AE12</f>
        <v>31.520894629532</v>
      </c>
      <c r="AG16" s="34" t="n">
        <f aca="false">AF16-AF8</f>
        <v>1.49390476025093</v>
      </c>
      <c r="AH16" s="35" t="n">
        <f aca="false">AG16/8</f>
        <v>0.186738095031367</v>
      </c>
      <c r="AI16" s="36" t="s">
        <v>87</v>
      </c>
    </row>
    <row r="17" customFormat="false" ht="15.75" hidden="false" customHeight="true" outlineLevel="0" collapsed="false">
      <c r="A17" s="3" t="s">
        <v>26</v>
      </c>
      <c r="B17" s="4" t="s">
        <v>14</v>
      </c>
      <c r="C17" s="4" t="s">
        <v>12</v>
      </c>
      <c r="D17" s="4" t="s">
        <v>14</v>
      </c>
      <c r="E17" s="4" t="s">
        <v>14</v>
      </c>
      <c r="F17" s="37" t="n">
        <f aca="false">3_Estadistics!D17</f>
        <v>370.150769230769</v>
      </c>
      <c r="G17" s="38" t="n">
        <f aca="false">F17-TINV(0.05,26-1)*3_Estadistics!F17/SQRT(26)</f>
        <v>350.803224356875</v>
      </c>
      <c r="H17" s="38" t="n">
        <f aca="false">F17+TINV(0.05,26-1)*3_Estadistics!F17/SQRT(26)</f>
        <v>389.498314104664</v>
      </c>
      <c r="I17" s="37" t="n">
        <f aca="false">3_Estadistics!L17</f>
        <v>7.52923076923077</v>
      </c>
      <c r="J17" s="38" t="n">
        <f aca="false">I17-TINV(0.05,26-1)*3_Estadistics!N17/SQRT(26)</f>
        <v>7.23708008813706</v>
      </c>
      <c r="K17" s="38" t="n">
        <f aca="false">I17+TINV(0.05,26-1)*3_Estadistics!N17/SQRT(26)</f>
        <v>7.82138145032448</v>
      </c>
      <c r="L17" s="37" t="n">
        <f aca="false">3_Estadistics!T17</f>
        <v>25.4285384615385</v>
      </c>
      <c r="M17" s="38" t="n">
        <f aca="false">L17-TINV(0.05,26-1)*3_Estadistics!V17/SQRT(26)</f>
        <v>25.4164636945945</v>
      </c>
      <c r="N17" s="38" t="n">
        <f aca="false">L17+TINV(0.05,26-1)*3_Estadistics!V17/SQRT(26)</f>
        <v>25.4406132284824</v>
      </c>
      <c r="O17" s="38" t="n">
        <f aca="false">F17</f>
        <v>370.150769230769</v>
      </c>
      <c r="P17" s="38" t="n">
        <f aca="false">O17-O16</f>
        <v>-34.3932783882784</v>
      </c>
      <c r="Q17" s="38" t="n">
        <f aca="false">P17+P19</f>
        <v>-34.7261783882784</v>
      </c>
      <c r="R17" s="38" t="n">
        <f aca="false">Q17-Q13</f>
        <v>185.927655092482</v>
      </c>
      <c r="S17" s="38" t="n">
        <f aca="false">R17-R9</f>
        <v>-156.742896200499</v>
      </c>
      <c r="T17" s="39" t="n">
        <f aca="false">S17/8</f>
        <v>-19.5928620250623</v>
      </c>
      <c r="U17" s="40" t="s">
        <v>88</v>
      </c>
      <c r="V17" s="38" t="n">
        <f aca="false">I17</f>
        <v>7.52923076923077</v>
      </c>
      <c r="W17" s="38" t="n">
        <f aca="false">V17-V16</f>
        <v>-0.272197802197803</v>
      </c>
      <c r="X17" s="38" t="n">
        <f aca="false">W17+W19</f>
        <v>-0.249047802197802</v>
      </c>
      <c r="Y17" s="38" t="n">
        <f aca="false">X17-X13</f>
        <v>-63.0039903055149</v>
      </c>
      <c r="Z17" s="38" t="n">
        <f aca="false">Y17-Y9</f>
        <v>31.0176557587079</v>
      </c>
      <c r="AA17" s="39" t="n">
        <f aca="false">Z17/8</f>
        <v>3.87720696983848</v>
      </c>
      <c r="AB17" s="40" t="s">
        <v>88</v>
      </c>
      <c r="AC17" s="38" t="n">
        <f aca="false">L17</f>
        <v>25.4285384615385</v>
      </c>
      <c r="AD17" s="38" t="n">
        <f aca="false">AC17-AC16</f>
        <v>10.1680622710623</v>
      </c>
      <c r="AE17" s="38" t="n">
        <f aca="false">AD17+AD19</f>
        <v>20.3451747710623</v>
      </c>
      <c r="AF17" s="38" t="n">
        <f aca="false">AE17-AE13</f>
        <v>20.8276184390558</v>
      </c>
      <c r="AG17" s="38" t="n">
        <f aca="false">AF17-AF9</f>
        <v>-1.92859169166317</v>
      </c>
      <c r="AH17" s="39" t="n">
        <f aca="false">AG17/8</f>
        <v>-0.241073961457897</v>
      </c>
      <c r="AI17" s="40" t="s">
        <v>88</v>
      </c>
    </row>
    <row r="18" customFormat="false" ht="15.75" hidden="false" customHeight="true" outlineLevel="0" collapsed="false">
      <c r="A18" s="6" t="s">
        <v>27</v>
      </c>
      <c r="B18" s="7" t="s">
        <v>12</v>
      </c>
      <c r="C18" s="7" t="s">
        <v>14</v>
      </c>
      <c r="D18" s="7" t="s">
        <v>14</v>
      </c>
      <c r="E18" s="7" t="s">
        <v>14</v>
      </c>
      <c r="F18" s="33" t="n">
        <f aca="false">3_Estadistics!D18</f>
        <v>155.8304</v>
      </c>
      <c r="G18" s="34" t="n">
        <f aca="false">F18-TINV(0.05,25-1)*3_Estadistics!F18/SQRT(25)</f>
        <v>155.279056394721</v>
      </c>
      <c r="H18" s="34" t="n">
        <f aca="false">F18+TINV(0.05,25-1)*3_Estadistics!F18/SQRT(25)</f>
        <v>156.381743605279</v>
      </c>
      <c r="I18" s="33" t="n">
        <f aca="false">3_Estadistics!L18</f>
        <v>7.9056</v>
      </c>
      <c r="J18" s="34" t="n">
        <f aca="false">I18-TINV(0.05,25-1)*3_Estadistics!N18/SQRT(25)</f>
        <v>7.56990687251537</v>
      </c>
      <c r="K18" s="34" t="n">
        <f aca="false">I18+TINV(0.05,25-1)*3_Estadistics!N18/SQRT(25)</f>
        <v>8.24129312748463</v>
      </c>
      <c r="L18" s="33" t="n">
        <f aca="false">3_Estadistics!T18</f>
        <v>15.2562</v>
      </c>
      <c r="M18" s="34" t="n">
        <f aca="false">L18-TINV(0.05,25-1)*3_Estadistics!V18/SQRT(25)</f>
        <v>15.2490266533993</v>
      </c>
      <c r="N18" s="34" t="n">
        <f aca="false">L18+TINV(0.05,25-1)*3_Estadistics!V18/SQRT(25)</f>
        <v>15.2633733466007</v>
      </c>
      <c r="O18" s="34" t="n">
        <f aca="false">F18</f>
        <v>155.8304</v>
      </c>
      <c r="P18" s="34" t="n">
        <f aca="false">O18+O19</f>
        <v>311.3279</v>
      </c>
      <c r="Q18" s="34" t="n">
        <f aca="false">P18-P16</f>
        <v>-463.366916849817</v>
      </c>
      <c r="R18" s="34" t="n">
        <f aca="false">Q18-Q14</f>
        <v>-386.847557053267</v>
      </c>
      <c r="S18" s="34" t="n">
        <f aca="false">R18-R10</f>
        <v>-13.2734502047301</v>
      </c>
      <c r="T18" s="35" t="n">
        <f aca="false">S18/8</f>
        <v>-1.65918127559127</v>
      </c>
      <c r="U18" s="36" t="s">
        <v>89</v>
      </c>
      <c r="V18" s="34" t="n">
        <f aca="false">I18</f>
        <v>7.9056</v>
      </c>
      <c r="W18" s="34" t="n">
        <f aca="false">V18+V19</f>
        <v>15.83435</v>
      </c>
      <c r="X18" s="34" t="n">
        <f aca="false">W18-W16</f>
        <v>0.503690659340659</v>
      </c>
      <c r="Y18" s="34" t="n">
        <f aca="false">X18-X14</f>
        <v>-10.9009886860817</v>
      </c>
      <c r="Z18" s="34" t="n">
        <f aca="false">Y18-Y10</f>
        <v>-19.4947458614156</v>
      </c>
      <c r="AA18" s="35" t="n">
        <f aca="false">Z18/8</f>
        <v>-2.43684323267695</v>
      </c>
      <c r="AB18" s="36" t="s">
        <v>89</v>
      </c>
      <c r="AC18" s="34" t="n">
        <f aca="false">L18</f>
        <v>15.2562</v>
      </c>
      <c r="AD18" s="34" t="n">
        <f aca="false">AC18+AC19</f>
        <v>40.6895125</v>
      </c>
      <c r="AE18" s="34" t="n">
        <f aca="false">AD18-AD16</f>
        <v>0.000497847985343469</v>
      </c>
      <c r="AF18" s="34" t="n">
        <f aca="false">AE18-AE14</f>
        <v>-0.0165970805123692</v>
      </c>
      <c r="AG18" s="34" t="n">
        <f aca="false">AF18-AF10</f>
        <v>-0.242909172015636</v>
      </c>
      <c r="AH18" s="35" t="n">
        <f aca="false">AG18/8</f>
        <v>-0.0303636465019546</v>
      </c>
      <c r="AI18" s="36" t="s">
        <v>89</v>
      </c>
    </row>
    <row r="19" customFormat="false" ht="15.75" hidden="false" customHeight="true" outlineLevel="0" collapsed="false">
      <c r="A19" s="3" t="s">
        <v>28</v>
      </c>
      <c r="B19" s="4" t="s">
        <v>14</v>
      </c>
      <c r="C19" s="4" t="s">
        <v>14</v>
      </c>
      <c r="D19" s="4" t="s">
        <v>14</v>
      </c>
      <c r="E19" s="4" t="s">
        <v>14</v>
      </c>
      <c r="F19" s="37" t="n">
        <f aca="false">3_Estadistics!D19</f>
        <v>155.4975</v>
      </c>
      <c r="G19" s="38" t="n">
        <f aca="false">F19-TINV(0.05,16-1)*3_Estadistics!F19/SQRT(16)</f>
        <v>154.853091851976</v>
      </c>
      <c r="H19" s="38" t="n">
        <f aca="false">F19+TINV(0.05,16-1)*3_Estadistics!F19/SQRT(16)</f>
        <v>156.141908148024</v>
      </c>
      <c r="I19" s="37" t="n">
        <f aca="false">3_Estadistics!L19</f>
        <v>7.92875</v>
      </c>
      <c r="J19" s="38" t="n">
        <f aca="false">I19-TINV(0.05,16-1)*3_Estadistics!N19/SQRT(16)</f>
        <v>7.5493116940427</v>
      </c>
      <c r="K19" s="38" t="n">
        <f aca="false">I19+TINV(0.05,16-1)*3_Estadistics!N19/SQRT(16)</f>
        <v>8.3081883059573</v>
      </c>
      <c r="L19" s="37" t="n">
        <f aca="false">3_Estadistics!T19</f>
        <v>25.4333125</v>
      </c>
      <c r="M19" s="38" t="n">
        <f aca="false">L19-TINV(0.05,16-1)*3_Estadistics!V19/SQRT(16)</f>
        <v>25.4160439010677</v>
      </c>
      <c r="N19" s="38" t="n">
        <f aca="false">L19+TINV(0.05,16-1)*3_Estadistics!V19/SQRT(16)</f>
        <v>25.4505810989323</v>
      </c>
      <c r="O19" s="38" t="n">
        <f aca="false">F19</f>
        <v>155.4975</v>
      </c>
      <c r="P19" s="38" t="n">
        <f aca="false">O19-O18</f>
        <v>-0.332899999999995</v>
      </c>
      <c r="Q19" s="38" t="n">
        <f aca="false">P19-P17</f>
        <v>34.0603783882784</v>
      </c>
      <c r="R19" s="38" t="n">
        <f aca="false">Q19-Q15</f>
        <v>-41.0516903866001</v>
      </c>
      <c r="S19" s="38" t="n">
        <f aca="false">R19-R11</f>
        <v>158.013449141675</v>
      </c>
      <c r="T19" s="39" t="n">
        <f aca="false">S19/8</f>
        <v>19.7516811427094</v>
      </c>
      <c r="U19" s="40" t="s">
        <v>90</v>
      </c>
      <c r="V19" s="38" t="n">
        <f aca="false">I19</f>
        <v>7.92875</v>
      </c>
      <c r="W19" s="38" t="n">
        <f aca="false">V19-V18</f>
        <v>0.0231500000000002</v>
      </c>
      <c r="X19" s="38" t="n">
        <f aca="false">W19-W17</f>
        <v>0.295347802197803</v>
      </c>
      <c r="Y19" s="38" t="n">
        <f aca="false">X19-X15</f>
        <v>8.05352559963256</v>
      </c>
      <c r="Z19" s="38" t="n">
        <f aca="false">Y19-Y11</f>
        <v>7.72003639815489</v>
      </c>
      <c r="AA19" s="39" t="n">
        <f aca="false">Z19/8</f>
        <v>0.965004549769361</v>
      </c>
      <c r="AB19" s="40" t="s">
        <v>90</v>
      </c>
      <c r="AC19" s="38" t="n">
        <f aca="false">L19</f>
        <v>25.4333125</v>
      </c>
      <c r="AD19" s="38" t="n">
        <f aca="false">AC19-AC18</f>
        <v>10.1771125</v>
      </c>
      <c r="AE19" s="38" t="n">
        <f aca="false">AD19-AD17</f>
        <v>0.00905022893772944</v>
      </c>
      <c r="AF19" s="38" t="n">
        <f aca="false">AE19-AE15</f>
        <v>0.0257457766304903</v>
      </c>
      <c r="AG19" s="38" t="n">
        <f aca="false">AF19-AF11</f>
        <v>0.117391201467097</v>
      </c>
      <c r="AH19" s="39" t="n">
        <f aca="false">AG19/8</f>
        <v>0.0146739001833871</v>
      </c>
      <c r="AI19" s="40" t="s">
        <v>90</v>
      </c>
    </row>
  </sheetData>
  <mergeCells count="8">
    <mergeCell ref="A1:AI1"/>
    <mergeCell ref="A2:E2"/>
    <mergeCell ref="F2:H2"/>
    <mergeCell ref="I2:K2"/>
    <mergeCell ref="L2:N2"/>
    <mergeCell ref="O2:U2"/>
    <mergeCell ref="V2:AB2"/>
    <mergeCell ref="AC2:A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2026-04-12T18:45:17Z</dcterms:created>
  <dc:creator>openpyxl</dc:creator>
  <dc:description/>
  <dc:language>en-US</dc:language>
  <cp:lastModifiedBy/>
  <dcterms:modified xsi:type="dcterms:W3CDTF">2026-04-12T18:45:18Z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